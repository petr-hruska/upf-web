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unicz-my.sharepoint.com/personal/57158584_cuni_cz/Documents/_predmety/Úvod do praktické fyziky/UPF prednasky/seminar3/"/>
    </mc:Choice>
  </mc:AlternateContent>
  <xr:revisionPtr revIDLastSave="0" documentId="13_ncr:1_{FB49D911-7346-41F5-9134-71C7263E58F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F2" i="1" l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A201" i="1"/>
  <c r="B201" i="1" s="1"/>
  <c r="A200" i="1"/>
  <c r="B200" i="1" s="1"/>
  <c r="A199" i="1"/>
  <c r="B199" i="1" s="1"/>
  <c r="A198" i="1"/>
  <c r="B198" i="1" s="1"/>
  <c r="A197" i="1"/>
  <c r="B197" i="1" s="1"/>
  <c r="A196" i="1"/>
  <c r="B196" i="1" s="1"/>
  <c r="A195" i="1"/>
  <c r="B195" i="1" s="1"/>
  <c r="A194" i="1"/>
  <c r="B194" i="1" s="1"/>
  <c r="A193" i="1"/>
  <c r="B193" i="1" s="1"/>
  <c r="A192" i="1"/>
  <c r="B192" i="1" s="1"/>
  <c r="A191" i="1"/>
  <c r="B191" i="1" s="1"/>
  <c r="A190" i="1"/>
  <c r="B190" i="1" s="1"/>
  <c r="A189" i="1"/>
  <c r="B189" i="1" s="1"/>
  <c r="A188" i="1"/>
  <c r="B188" i="1" s="1"/>
  <c r="A187" i="1"/>
  <c r="B187" i="1" s="1"/>
  <c r="A186" i="1"/>
  <c r="B186" i="1" s="1"/>
  <c r="A185" i="1"/>
  <c r="B185" i="1" s="1"/>
  <c r="A184" i="1"/>
  <c r="B184" i="1" s="1"/>
  <c r="A183" i="1"/>
  <c r="B183" i="1" s="1"/>
  <c r="A182" i="1"/>
  <c r="B182" i="1" s="1"/>
  <c r="A181" i="1"/>
  <c r="B181" i="1" s="1"/>
  <c r="A180" i="1"/>
  <c r="B180" i="1" s="1"/>
  <c r="A179" i="1"/>
  <c r="B179" i="1" s="1"/>
  <c r="A178" i="1"/>
  <c r="B178" i="1" s="1"/>
  <c r="A177" i="1"/>
  <c r="B177" i="1" s="1"/>
  <c r="A176" i="1"/>
  <c r="B176" i="1" s="1"/>
  <c r="A175" i="1"/>
  <c r="B175" i="1" s="1"/>
  <c r="A174" i="1"/>
  <c r="B174" i="1" s="1"/>
  <c r="A173" i="1"/>
  <c r="B173" i="1" s="1"/>
  <c r="A172" i="1"/>
  <c r="B172" i="1" s="1"/>
  <c r="A171" i="1"/>
  <c r="B171" i="1" s="1"/>
  <c r="A170" i="1"/>
  <c r="B170" i="1" s="1"/>
  <c r="A169" i="1"/>
  <c r="B169" i="1" s="1"/>
  <c r="A168" i="1"/>
  <c r="B168" i="1" s="1"/>
  <c r="A167" i="1"/>
  <c r="B167" i="1" s="1"/>
  <c r="A166" i="1"/>
  <c r="B166" i="1" s="1"/>
  <c r="A165" i="1"/>
  <c r="B165" i="1" s="1"/>
  <c r="A164" i="1"/>
  <c r="B164" i="1" s="1"/>
  <c r="A163" i="1"/>
  <c r="B163" i="1" s="1"/>
  <c r="A162" i="1"/>
  <c r="B162" i="1" s="1"/>
  <c r="A161" i="1"/>
  <c r="B161" i="1" s="1"/>
  <c r="A160" i="1"/>
  <c r="B160" i="1" s="1"/>
  <c r="A159" i="1"/>
  <c r="B159" i="1" s="1"/>
  <c r="A158" i="1"/>
  <c r="B158" i="1" s="1"/>
  <c r="A157" i="1"/>
  <c r="B157" i="1" s="1"/>
  <c r="A156" i="1"/>
  <c r="B156" i="1" s="1"/>
  <c r="A155" i="1"/>
  <c r="B155" i="1" s="1"/>
  <c r="A154" i="1"/>
  <c r="B154" i="1" s="1"/>
  <c r="A153" i="1"/>
  <c r="B153" i="1" s="1"/>
  <c r="A152" i="1"/>
  <c r="B152" i="1" s="1"/>
  <c r="A151" i="1"/>
  <c r="B151" i="1" s="1"/>
  <c r="A150" i="1"/>
  <c r="B150" i="1" s="1"/>
  <c r="A149" i="1"/>
  <c r="B149" i="1" s="1"/>
  <c r="A148" i="1"/>
  <c r="B148" i="1" s="1"/>
  <c r="A147" i="1"/>
  <c r="B147" i="1" s="1"/>
  <c r="A146" i="1"/>
  <c r="B146" i="1" s="1"/>
  <c r="A145" i="1"/>
  <c r="B145" i="1" s="1"/>
  <c r="A144" i="1"/>
  <c r="B144" i="1" s="1"/>
  <c r="A143" i="1"/>
  <c r="B143" i="1" s="1"/>
  <c r="A142" i="1"/>
  <c r="B142" i="1" s="1"/>
  <c r="A141" i="1"/>
  <c r="B141" i="1" s="1"/>
  <c r="A140" i="1"/>
  <c r="B140" i="1" s="1"/>
  <c r="A139" i="1"/>
  <c r="B139" i="1" s="1"/>
  <c r="A138" i="1"/>
  <c r="B138" i="1" s="1"/>
  <c r="A137" i="1"/>
  <c r="B137" i="1" s="1"/>
  <c r="A136" i="1"/>
  <c r="B136" i="1" s="1"/>
  <c r="A135" i="1"/>
  <c r="B135" i="1" s="1"/>
  <c r="A134" i="1"/>
  <c r="B134" i="1" s="1"/>
  <c r="A133" i="1"/>
  <c r="B133" i="1" s="1"/>
  <c r="A132" i="1"/>
  <c r="B132" i="1" s="1"/>
  <c r="A131" i="1"/>
  <c r="B131" i="1" s="1"/>
  <c r="A130" i="1"/>
  <c r="B130" i="1" s="1"/>
  <c r="A129" i="1"/>
  <c r="B129" i="1" s="1"/>
  <c r="A128" i="1"/>
  <c r="B128" i="1" s="1"/>
  <c r="A127" i="1"/>
  <c r="B127" i="1" s="1"/>
  <c r="A126" i="1"/>
  <c r="B126" i="1" s="1"/>
  <c r="A125" i="1"/>
  <c r="B125" i="1" s="1"/>
  <c r="A124" i="1"/>
  <c r="B124" i="1" s="1"/>
  <c r="A123" i="1"/>
  <c r="B123" i="1" s="1"/>
  <c r="A122" i="1"/>
  <c r="B122" i="1" s="1"/>
  <c r="A121" i="1"/>
  <c r="B121" i="1" s="1"/>
  <c r="A120" i="1"/>
  <c r="B120" i="1" s="1"/>
  <c r="A119" i="1"/>
  <c r="B119" i="1" s="1"/>
  <c r="A118" i="1"/>
  <c r="B118" i="1" s="1"/>
  <c r="A117" i="1"/>
  <c r="B117" i="1" s="1"/>
  <c r="A116" i="1"/>
  <c r="B116" i="1" s="1"/>
  <c r="A115" i="1"/>
  <c r="B115" i="1" s="1"/>
  <c r="A114" i="1"/>
  <c r="B114" i="1" s="1"/>
  <c r="A113" i="1"/>
  <c r="B113" i="1" s="1"/>
  <c r="A112" i="1"/>
  <c r="B112" i="1" s="1"/>
  <c r="A111" i="1"/>
  <c r="B111" i="1" s="1"/>
  <c r="A110" i="1"/>
  <c r="B110" i="1" s="1"/>
  <c r="A109" i="1"/>
  <c r="B109" i="1" s="1"/>
  <c r="A108" i="1"/>
  <c r="B108" i="1" s="1"/>
  <c r="A107" i="1"/>
  <c r="B107" i="1" s="1"/>
  <c r="A106" i="1"/>
  <c r="B106" i="1" s="1"/>
  <c r="A105" i="1"/>
  <c r="B105" i="1" s="1"/>
  <c r="A104" i="1"/>
  <c r="B104" i="1" s="1"/>
  <c r="A103" i="1"/>
  <c r="B103" i="1" s="1"/>
  <c r="A102" i="1"/>
  <c r="B102" i="1" s="1"/>
  <c r="A101" i="1"/>
  <c r="B101" i="1" s="1"/>
  <c r="A100" i="1"/>
  <c r="B100" i="1" s="1"/>
  <c r="A99" i="1"/>
  <c r="B99" i="1" s="1"/>
  <c r="A98" i="1"/>
  <c r="B98" i="1" s="1"/>
  <c r="A97" i="1"/>
  <c r="B97" i="1" s="1"/>
  <c r="A96" i="1"/>
  <c r="B96" i="1" s="1"/>
  <c r="A95" i="1"/>
  <c r="B95" i="1" s="1"/>
  <c r="A94" i="1"/>
  <c r="B94" i="1" s="1"/>
  <c r="A93" i="1"/>
  <c r="B93" i="1" s="1"/>
  <c r="A92" i="1"/>
  <c r="B92" i="1" s="1"/>
  <c r="A91" i="1"/>
  <c r="B91" i="1" s="1"/>
  <c r="A90" i="1"/>
  <c r="B90" i="1" s="1"/>
  <c r="A89" i="1"/>
  <c r="B89" i="1" s="1"/>
  <c r="A88" i="1"/>
  <c r="B88" i="1" s="1"/>
  <c r="A87" i="1"/>
  <c r="B87" i="1" s="1"/>
  <c r="A86" i="1"/>
  <c r="B86" i="1" s="1"/>
  <c r="A85" i="1"/>
  <c r="B85" i="1" s="1"/>
  <c r="A84" i="1"/>
  <c r="B84" i="1" s="1"/>
  <c r="A83" i="1"/>
  <c r="B83" i="1" s="1"/>
  <c r="A82" i="1"/>
  <c r="B82" i="1" s="1"/>
  <c r="A81" i="1"/>
  <c r="B81" i="1" s="1"/>
  <c r="A80" i="1"/>
  <c r="B80" i="1" s="1"/>
  <c r="A79" i="1"/>
  <c r="B79" i="1" s="1"/>
  <c r="A78" i="1"/>
  <c r="B78" i="1" s="1"/>
  <c r="A77" i="1"/>
  <c r="B77" i="1" s="1"/>
  <c r="A76" i="1"/>
  <c r="B76" i="1" s="1"/>
  <c r="A75" i="1"/>
  <c r="B75" i="1" s="1"/>
  <c r="A74" i="1"/>
  <c r="B74" i="1" s="1"/>
  <c r="A73" i="1"/>
  <c r="B73" i="1" s="1"/>
  <c r="A72" i="1"/>
  <c r="B72" i="1" s="1"/>
  <c r="A71" i="1"/>
  <c r="B71" i="1" s="1"/>
  <c r="A70" i="1"/>
  <c r="B70" i="1" s="1"/>
  <c r="A69" i="1"/>
  <c r="B69" i="1" s="1"/>
  <c r="A68" i="1"/>
  <c r="B68" i="1" s="1"/>
  <c r="A67" i="1"/>
  <c r="B67" i="1" s="1"/>
  <c r="A66" i="1"/>
  <c r="B66" i="1" s="1"/>
  <c r="A65" i="1"/>
  <c r="B65" i="1" s="1"/>
  <c r="A64" i="1"/>
  <c r="B64" i="1" s="1"/>
  <c r="A63" i="1"/>
  <c r="B63" i="1" s="1"/>
  <c r="A62" i="1"/>
  <c r="B62" i="1" s="1"/>
  <c r="A61" i="1"/>
  <c r="B61" i="1" s="1"/>
  <c r="A60" i="1"/>
  <c r="B60" i="1" s="1"/>
  <c r="A59" i="1"/>
  <c r="B59" i="1" s="1"/>
  <c r="A58" i="1"/>
  <c r="B58" i="1" s="1"/>
  <c r="A57" i="1"/>
  <c r="B57" i="1" s="1"/>
  <c r="A56" i="1"/>
  <c r="B56" i="1" s="1"/>
  <c r="A55" i="1"/>
  <c r="B55" i="1" s="1"/>
  <c r="A54" i="1"/>
  <c r="B54" i="1" s="1"/>
  <c r="A53" i="1"/>
  <c r="B53" i="1" s="1"/>
  <c r="A52" i="1"/>
  <c r="B52" i="1" s="1"/>
  <c r="A51" i="1"/>
  <c r="B51" i="1" s="1"/>
  <c r="A50" i="1"/>
  <c r="B50" i="1" s="1"/>
  <c r="A49" i="1"/>
  <c r="B49" i="1" s="1"/>
  <c r="A48" i="1"/>
  <c r="B48" i="1" s="1"/>
  <c r="A47" i="1"/>
  <c r="B47" i="1" s="1"/>
  <c r="A46" i="1"/>
  <c r="B46" i="1" s="1"/>
  <c r="A45" i="1"/>
  <c r="B45" i="1" s="1"/>
  <c r="A44" i="1"/>
  <c r="B44" i="1" s="1"/>
  <c r="A43" i="1"/>
  <c r="B43" i="1" s="1"/>
  <c r="A42" i="1"/>
  <c r="B42" i="1" s="1"/>
  <c r="A41" i="1"/>
  <c r="B41" i="1" s="1"/>
  <c r="A40" i="1"/>
  <c r="B40" i="1" s="1"/>
  <c r="A39" i="1"/>
  <c r="B39" i="1" s="1"/>
  <c r="A38" i="1"/>
  <c r="B38" i="1" s="1"/>
  <c r="A37" i="1"/>
  <c r="B37" i="1" s="1"/>
  <c r="A36" i="1"/>
  <c r="B36" i="1" s="1"/>
  <c r="A35" i="1"/>
  <c r="B35" i="1" s="1"/>
  <c r="A34" i="1"/>
  <c r="B34" i="1" s="1"/>
  <c r="A33" i="1"/>
  <c r="B33" i="1" s="1"/>
  <c r="A32" i="1"/>
  <c r="B32" i="1" s="1"/>
  <c r="A31" i="1"/>
  <c r="B31" i="1" s="1"/>
  <c r="A30" i="1"/>
  <c r="B30" i="1" s="1"/>
  <c r="A29" i="1"/>
  <c r="B29" i="1" s="1"/>
  <c r="A28" i="1"/>
  <c r="B28" i="1" s="1"/>
  <c r="A27" i="1"/>
  <c r="B27" i="1" s="1"/>
  <c r="A26" i="1"/>
  <c r="B26" i="1" s="1"/>
  <c r="A25" i="1"/>
  <c r="B25" i="1" s="1"/>
  <c r="A24" i="1"/>
  <c r="B24" i="1" s="1"/>
  <c r="A23" i="1"/>
  <c r="B23" i="1" s="1"/>
  <c r="A22" i="1"/>
  <c r="B22" i="1" s="1"/>
  <c r="A21" i="1"/>
  <c r="B21" i="1" s="1"/>
  <c r="A20" i="1"/>
  <c r="B20" i="1" s="1"/>
  <c r="A19" i="1"/>
  <c r="B19" i="1" s="1"/>
  <c r="A18" i="1"/>
  <c r="B18" i="1" s="1"/>
  <c r="A17" i="1"/>
  <c r="B17" i="1" s="1"/>
  <c r="A16" i="1"/>
  <c r="B16" i="1" s="1"/>
  <c r="A15" i="1"/>
  <c r="B15" i="1" s="1"/>
  <c r="A14" i="1"/>
  <c r="B14" i="1" s="1"/>
  <c r="A13" i="1"/>
  <c r="B13" i="1" s="1"/>
  <c r="A12" i="1"/>
  <c r="B12" i="1" s="1"/>
  <c r="A11" i="1"/>
  <c r="B11" i="1" s="1"/>
  <c r="A10" i="1"/>
  <c r="B10" i="1" s="1"/>
  <c r="A9" i="1"/>
  <c r="B9" i="1" s="1"/>
  <c r="A8" i="1"/>
  <c r="B8" i="1" s="1"/>
  <c r="A7" i="1"/>
  <c r="B7" i="1" s="1"/>
  <c r="A6" i="1"/>
  <c r="B6" i="1" s="1"/>
  <c r="A5" i="1"/>
  <c r="B5" i="1" s="1"/>
  <c r="A4" i="1"/>
  <c r="B4" i="1" s="1"/>
  <c r="A3" i="1"/>
  <c r="B3" i="1" s="1"/>
  <c r="A2" i="1"/>
  <c r="B2" i="1" s="1"/>
  <c r="E2" i="1" l="1" a="1"/>
  <c r="E8" i="1" s="1"/>
  <c r="G8" i="1" l="1"/>
  <c r="E31" i="1"/>
  <c r="E21" i="1"/>
  <c r="E11" i="1"/>
  <c r="E3" i="1"/>
  <c r="E15" i="1"/>
  <c r="E30" i="1"/>
  <c r="E9" i="1"/>
  <c r="E23" i="1"/>
  <c r="E13" i="1"/>
  <c r="E26" i="1"/>
  <c r="E5" i="1"/>
  <c r="E28" i="1"/>
  <c r="E18" i="1"/>
  <c r="E7" i="1"/>
  <c r="E20" i="1"/>
  <c r="E10" i="1"/>
  <c r="E32" i="1"/>
  <c r="E22" i="1"/>
  <c r="E12" i="1"/>
  <c r="E2" i="1"/>
  <c r="E24" i="1"/>
  <c r="E14" i="1"/>
  <c r="E4" i="1"/>
  <c r="E25" i="1"/>
  <c r="E16" i="1"/>
  <c r="E6" i="1"/>
  <c r="E27" i="1"/>
  <c r="E17" i="1"/>
  <c r="E29" i="1"/>
  <c r="E19" i="1"/>
  <c r="G19" i="1" l="1"/>
  <c r="G17" i="1"/>
  <c r="G6" i="1"/>
  <c r="G25" i="1"/>
  <c r="G14" i="1"/>
  <c r="G22" i="1"/>
  <c r="G10" i="1"/>
  <c r="G7" i="1"/>
  <c r="G28" i="1"/>
  <c r="G26" i="1"/>
  <c r="G23" i="1"/>
  <c r="G30" i="1"/>
  <c r="G3" i="1"/>
  <c r="G21" i="1"/>
  <c r="G29" i="1"/>
  <c r="G27" i="1"/>
  <c r="G16" i="1"/>
  <c r="G4" i="1"/>
  <c r="G24" i="1"/>
  <c r="G12" i="1"/>
  <c r="G32" i="1"/>
  <c r="G20" i="1"/>
  <c r="G18" i="1"/>
  <c r="G5" i="1"/>
  <c r="G13" i="1"/>
  <c r="G9" i="1"/>
  <c r="G15" i="1"/>
  <c r="G11" i="1"/>
  <c r="G31" i="1"/>
  <c r="G2" i="1"/>
  <c r="I2" i="1" s="1"/>
  <c r="I3" i="1" l="1"/>
  <c r="I4" i="1" s="1"/>
  <c r="I5" i="1" s="1"/>
  <c r="I6" i="1" s="1"/>
  <c r="I7" i="1" s="1"/>
  <c r="I8" i="1" s="1"/>
  <c r="I9" i="1" s="1"/>
  <c r="I10" i="1" s="1"/>
  <c r="I11" i="1" s="1"/>
  <c r="I12" i="1" s="1"/>
  <c r="I13" i="1" l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F35" i="1"/>
</calcChain>
</file>

<file path=xl/sharedStrings.xml><?xml version="1.0" encoding="utf-8"?>
<sst xmlns="http://schemas.openxmlformats.org/spreadsheetml/2006/main" count="12" uniqueCount="12">
  <si>
    <t>U(0,1)</t>
  </si>
  <si>
    <t>E(100)</t>
  </si>
  <si>
    <t>biny</t>
  </si>
  <si>
    <t>četnost</t>
  </si>
  <si>
    <t>model fce</t>
  </si>
  <si>
    <t>norm. čet.</t>
  </si>
  <si>
    <t>kumulace</t>
  </si>
  <si>
    <t>dist. fce.</t>
  </si>
  <si>
    <t>h. pravděp.</t>
  </si>
  <si>
    <r>
      <t xml:space="preserve">Pravděpodobnost, že vybuzená hladina bude žít déle než 200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s?</t>
    </r>
  </si>
  <si>
    <t>z distribuční funkce</t>
  </si>
  <si>
    <t>z kumulativní fuknce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</si>
</sst>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164" fontId="0" fillId="2" borderId="0" xfId="0" applyNumberFormat="1" applyFill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List1!$D$2:$D$32</c:f>
              <c:numCache>
                <c:formatCode>General</c:formatCode>
                <c:ptCount val="3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</c:numCache>
            </c:numRef>
          </c:cat>
          <c:val>
            <c:numRef>
              <c:f>List1!$E$2:$E$32</c:f>
              <c:numCache>
                <c:formatCode>General</c:formatCode>
                <c:ptCount val="31"/>
                <c:pt idx="0">
                  <c:v>0</c:v>
                </c:pt>
                <c:pt idx="1">
                  <c:v>32</c:v>
                </c:pt>
                <c:pt idx="2">
                  <c:v>31</c:v>
                </c:pt>
                <c:pt idx="3">
                  <c:v>30</c:v>
                </c:pt>
                <c:pt idx="4">
                  <c:v>18</c:v>
                </c:pt>
                <c:pt idx="5">
                  <c:v>16</c:v>
                </c:pt>
                <c:pt idx="6">
                  <c:v>19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3</c:v>
                </c:pt>
                <c:pt idx="12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C-409E-B556-B51B695A5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64822064"/>
        <c:axId val="56483294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List1!$F$2:$F$32</c:f>
              <c:numCache>
                <c:formatCode>General</c:formatCode>
                <c:ptCount val="31"/>
                <c:pt idx="0">
                  <c:v>40</c:v>
                </c:pt>
                <c:pt idx="1">
                  <c:v>32.749230123119276</c:v>
                </c:pt>
                <c:pt idx="2">
                  <c:v>26.812801841425575</c:v>
                </c:pt>
                <c:pt idx="3">
                  <c:v>21.952465443761056</c:v>
                </c:pt>
                <c:pt idx="4">
                  <c:v>17.973158564688866</c:v>
                </c:pt>
                <c:pt idx="5">
                  <c:v>14.715177646857693</c:v>
                </c:pt>
                <c:pt idx="6">
                  <c:v>12.047768476488086</c:v>
                </c:pt>
                <c:pt idx="7">
                  <c:v>9.8638785576642594</c:v>
                </c:pt>
                <c:pt idx="8">
                  <c:v>8.0758607197862151</c:v>
                </c:pt>
                <c:pt idx="9">
                  <c:v>6.6119555288634615</c:v>
                </c:pt>
                <c:pt idx="10">
                  <c:v>5.4134113294645081</c:v>
                </c:pt>
                <c:pt idx="11">
                  <c:v>4.432126334493355</c:v>
                </c:pt>
                <c:pt idx="12">
                  <c:v>3.6287181315765005</c:v>
                </c:pt>
                <c:pt idx="13">
                  <c:v>2.9709431285733552</c:v>
                </c:pt>
                <c:pt idx="14">
                  <c:v>2.432402505008719</c:v>
                </c:pt>
                <c:pt idx="15">
                  <c:v>1.9914827347145581</c:v>
                </c:pt>
                <c:pt idx="16">
                  <c:v>1.6304881591346485</c:v>
                </c:pt>
                <c:pt idx="17">
                  <c:v>1.3349307984130432</c:v>
                </c:pt>
                <c:pt idx="18">
                  <c:v>1.0929488978917026</c:v>
                </c:pt>
                <c:pt idx="19">
                  <c:v>0.894830874246624</c:v>
                </c:pt>
                <c:pt idx="20">
                  <c:v>0.73262555554936715</c:v>
                </c:pt>
                <c:pt idx="21">
                  <c:v>0.59982307281910807</c:v>
                </c:pt>
                <c:pt idx="22">
                  <c:v>0.49109359612273751</c:v>
                </c:pt>
                <c:pt idx="23">
                  <c:v>0.40207342978534344</c:v>
                </c:pt>
                <c:pt idx="24">
                  <c:v>0.32918988196080123</c:v>
                </c:pt>
                <c:pt idx="25">
                  <c:v>0.26951787996341869</c:v>
                </c:pt>
                <c:pt idx="26">
                  <c:v>0.22066257683043086</c:v>
                </c:pt>
                <c:pt idx="27">
                  <c:v>0.18066323770450665</c:v>
                </c:pt>
                <c:pt idx="28">
                  <c:v>0.14791454865931727</c:v>
                </c:pt>
                <c:pt idx="29">
                  <c:v>0.12110218981503262</c:v>
                </c:pt>
                <c:pt idx="30">
                  <c:v>9.9150087066654347E-2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7C-409E-B556-B51B695A5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822064"/>
        <c:axId val="564832944"/>
      </c:lineChart>
      <c:catAx>
        <c:axId val="56482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 (</a:t>
                </a:r>
                <a:r>
                  <a:rPr lang="cs-CZ">
                    <a:latin typeface="Symbol" panose="05050102010706020507" pitchFamily="18" charset="2"/>
                  </a:rPr>
                  <a:t>m</a:t>
                </a:r>
                <a:r>
                  <a:rPr lang="cs-CZ"/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64832944"/>
        <c:crosses val="autoZero"/>
        <c:auto val="1"/>
        <c:lblAlgn val="ctr"/>
        <c:lblOffset val="100"/>
        <c:tickLblSkip val="2"/>
        <c:noMultiLvlLbl val="0"/>
      </c:catAx>
      <c:valAx>
        <c:axId val="56483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počet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6482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List1!$D$2:$D$32</c:f>
              <c:numCache>
                <c:formatCode>General</c:formatCode>
                <c:ptCount val="3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</c:numCache>
            </c:numRef>
          </c:cat>
          <c:val>
            <c:numRef>
              <c:f>List1!$G$2:$G$32</c:f>
              <c:numCache>
                <c:formatCode>General</c:formatCode>
                <c:ptCount val="31"/>
                <c:pt idx="0">
                  <c:v>0</c:v>
                </c:pt>
                <c:pt idx="1">
                  <c:v>8.0000000000000002E-3</c:v>
                </c:pt>
                <c:pt idx="2">
                  <c:v>7.7499999999999999E-3</c:v>
                </c:pt>
                <c:pt idx="3">
                  <c:v>7.4999999999999997E-3</c:v>
                </c:pt>
                <c:pt idx="4">
                  <c:v>4.4999999999999997E-3</c:v>
                </c:pt>
                <c:pt idx="5">
                  <c:v>4.0000000000000001E-3</c:v>
                </c:pt>
                <c:pt idx="6">
                  <c:v>4.7499999999999999E-3</c:v>
                </c:pt>
                <c:pt idx="7">
                  <c:v>1.75E-3</c:v>
                </c:pt>
                <c:pt idx="8">
                  <c:v>1.75E-3</c:v>
                </c:pt>
                <c:pt idx="9">
                  <c:v>1.75E-3</c:v>
                </c:pt>
                <c:pt idx="10">
                  <c:v>2E-3</c:v>
                </c:pt>
                <c:pt idx="11">
                  <c:v>7.5000000000000002E-4</c:v>
                </c:pt>
                <c:pt idx="12">
                  <c:v>1E-3</c:v>
                </c:pt>
                <c:pt idx="13">
                  <c:v>2.5000000000000001E-4</c:v>
                </c:pt>
                <c:pt idx="14">
                  <c:v>7.5000000000000002E-4</c:v>
                </c:pt>
                <c:pt idx="15">
                  <c:v>2.5000000000000001E-4</c:v>
                </c:pt>
                <c:pt idx="16">
                  <c:v>7.5000000000000002E-4</c:v>
                </c:pt>
                <c:pt idx="17">
                  <c:v>5.0000000000000001E-4</c:v>
                </c:pt>
                <c:pt idx="18">
                  <c:v>5.0000000000000001E-4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2.5000000000000001E-4</c:v>
                </c:pt>
                <c:pt idx="23">
                  <c:v>2.5000000000000001E-4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2.5000000000000001E-4</c:v>
                </c:pt>
                <c:pt idx="28">
                  <c:v>0</c:v>
                </c:pt>
                <c:pt idx="29">
                  <c:v>0</c:v>
                </c:pt>
                <c:pt idx="30">
                  <c:v>2.5000000000000001E-4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A-46CF-82C2-C0F46AC82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64823152"/>
        <c:axId val="56483185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List1!$H$2:$H$32</c:f>
              <c:numCache>
                <c:formatCode>General</c:formatCode>
                <c:ptCount val="31"/>
                <c:pt idx="0">
                  <c:v>0.01</c:v>
                </c:pt>
                <c:pt idx="1">
                  <c:v>8.187307530779819E-3</c:v>
                </c:pt>
                <c:pt idx="2">
                  <c:v>6.7032004603563931E-3</c:v>
                </c:pt>
                <c:pt idx="3">
                  <c:v>5.4881163609402641E-3</c:v>
                </c:pt>
                <c:pt idx="4">
                  <c:v>4.4932896411722162E-3</c:v>
                </c:pt>
                <c:pt idx="5">
                  <c:v>3.6787944117144234E-3</c:v>
                </c:pt>
                <c:pt idx="6">
                  <c:v>3.0119421191220214E-3</c:v>
                </c:pt>
                <c:pt idx="7">
                  <c:v>2.4659696394160649E-3</c:v>
                </c:pt>
                <c:pt idx="8">
                  <c:v>2.0189651799465539E-3</c:v>
                </c:pt>
                <c:pt idx="9">
                  <c:v>1.6529888822158654E-3</c:v>
                </c:pt>
                <c:pt idx="10">
                  <c:v>1.3533528323661271E-3</c:v>
                </c:pt>
                <c:pt idx="11">
                  <c:v>1.1080315836233387E-3</c:v>
                </c:pt>
                <c:pt idx="12">
                  <c:v>9.0717953289412513E-4</c:v>
                </c:pt>
                <c:pt idx="13">
                  <c:v>7.4273578214333882E-4</c:v>
                </c:pt>
                <c:pt idx="14">
                  <c:v>6.0810062625217976E-4</c:v>
                </c:pt>
                <c:pt idx="15">
                  <c:v>4.978706836786395E-4</c:v>
                </c:pt>
                <c:pt idx="16">
                  <c:v>4.076220397836621E-4</c:v>
                </c:pt>
                <c:pt idx="17">
                  <c:v>3.3373269960326079E-4</c:v>
                </c:pt>
                <c:pt idx="18">
                  <c:v>2.7323722447292561E-4</c:v>
                </c:pt>
                <c:pt idx="19">
                  <c:v>2.2370771856165602E-4</c:v>
                </c:pt>
                <c:pt idx="20">
                  <c:v>1.8315638888734178E-4</c:v>
                </c:pt>
                <c:pt idx="21">
                  <c:v>1.4995576820477704E-4</c:v>
                </c:pt>
                <c:pt idx="22">
                  <c:v>1.2277339903068437E-4</c:v>
                </c:pt>
                <c:pt idx="23">
                  <c:v>1.0051835744633587E-4</c:v>
                </c:pt>
                <c:pt idx="24">
                  <c:v>8.2297470490200309E-5</c:v>
                </c:pt>
                <c:pt idx="25">
                  <c:v>6.7379469990854672E-5</c:v>
                </c:pt>
                <c:pt idx="26">
                  <c:v>5.5165644207607714E-5</c:v>
                </c:pt>
                <c:pt idx="27">
                  <c:v>4.5165809426126662E-5</c:v>
                </c:pt>
                <c:pt idx="28">
                  <c:v>3.6978637164829318E-5</c:v>
                </c:pt>
                <c:pt idx="29">
                  <c:v>3.0275547453758156E-5</c:v>
                </c:pt>
                <c:pt idx="30">
                  <c:v>2.4787521766663585E-5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8A-46CF-82C2-C0F46AC82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823152"/>
        <c:axId val="564831856"/>
      </c:lineChart>
      <c:catAx>
        <c:axId val="56482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 (</a:t>
                </a:r>
                <a:r>
                  <a:rPr lang="cs-CZ">
                    <a:latin typeface="Symbol" panose="05050102010706020507" pitchFamily="18" charset="2"/>
                  </a:rPr>
                  <a:t>m</a:t>
                </a:r>
                <a:r>
                  <a:rPr lang="cs-CZ"/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64831856"/>
        <c:crosses val="autoZero"/>
        <c:auto val="1"/>
        <c:lblAlgn val="ctr"/>
        <c:lblOffset val="100"/>
        <c:noMultiLvlLbl val="0"/>
      </c:catAx>
      <c:valAx>
        <c:axId val="56483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hustota pravděpodobnosti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56482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List1!$D$2:$D$32</c:f>
              <c:numCache>
                <c:formatCode>General</c:formatCode>
                <c:ptCount val="3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</c:numCache>
            </c:numRef>
          </c:cat>
          <c:val>
            <c:numRef>
              <c:f>List1!$I$2:$I$32</c:f>
              <c:numCache>
                <c:formatCode>General</c:formatCode>
                <c:ptCount val="31"/>
                <c:pt idx="0">
                  <c:v>0</c:v>
                </c:pt>
                <c:pt idx="1">
                  <c:v>0.16</c:v>
                </c:pt>
                <c:pt idx="2">
                  <c:v>0.315</c:v>
                </c:pt>
                <c:pt idx="3">
                  <c:v>0.46499999999999997</c:v>
                </c:pt>
                <c:pt idx="4">
                  <c:v>0.55499999999999994</c:v>
                </c:pt>
                <c:pt idx="5">
                  <c:v>0.6349999999999999</c:v>
                </c:pt>
                <c:pt idx="6">
                  <c:v>0.72999999999999987</c:v>
                </c:pt>
                <c:pt idx="7">
                  <c:v>0.7649999999999999</c:v>
                </c:pt>
                <c:pt idx="8">
                  <c:v>0.79999999999999993</c:v>
                </c:pt>
                <c:pt idx="9">
                  <c:v>0.83499999999999996</c:v>
                </c:pt>
                <c:pt idx="10">
                  <c:v>0.875</c:v>
                </c:pt>
                <c:pt idx="11">
                  <c:v>0.89</c:v>
                </c:pt>
                <c:pt idx="12">
                  <c:v>0.91</c:v>
                </c:pt>
                <c:pt idx="13">
                  <c:v>0.91500000000000004</c:v>
                </c:pt>
                <c:pt idx="14">
                  <c:v>0.93</c:v>
                </c:pt>
                <c:pt idx="15">
                  <c:v>0.93500000000000005</c:v>
                </c:pt>
                <c:pt idx="16">
                  <c:v>0.95000000000000007</c:v>
                </c:pt>
                <c:pt idx="17">
                  <c:v>0.96000000000000008</c:v>
                </c:pt>
                <c:pt idx="18">
                  <c:v>0.97000000000000008</c:v>
                </c:pt>
                <c:pt idx="19">
                  <c:v>0.97000000000000008</c:v>
                </c:pt>
                <c:pt idx="20">
                  <c:v>0.97000000000000008</c:v>
                </c:pt>
                <c:pt idx="21">
                  <c:v>0.97000000000000008</c:v>
                </c:pt>
                <c:pt idx="22">
                  <c:v>0.97500000000000009</c:v>
                </c:pt>
                <c:pt idx="23">
                  <c:v>0.98000000000000009</c:v>
                </c:pt>
                <c:pt idx="24">
                  <c:v>0.98000000000000009</c:v>
                </c:pt>
                <c:pt idx="25">
                  <c:v>0.98000000000000009</c:v>
                </c:pt>
                <c:pt idx="26">
                  <c:v>0.98000000000000009</c:v>
                </c:pt>
                <c:pt idx="27">
                  <c:v>0.9850000000000001</c:v>
                </c:pt>
                <c:pt idx="28">
                  <c:v>0.9850000000000001</c:v>
                </c:pt>
                <c:pt idx="29">
                  <c:v>0.9850000000000001</c:v>
                </c:pt>
                <c:pt idx="30">
                  <c:v>0.9900000000000001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8-4D7B-B296-78C34038F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65916720"/>
        <c:axId val="3659091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List1!$J$2:$J$32</c:f>
              <c:numCache>
                <c:formatCode>General</c:formatCode>
                <c:ptCount val="31"/>
                <c:pt idx="0">
                  <c:v>0</c:v>
                </c:pt>
                <c:pt idx="1">
                  <c:v>0.18126924692201818</c:v>
                </c:pt>
                <c:pt idx="2">
                  <c:v>0.32967995396436067</c:v>
                </c:pt>
                <c:pt idx="3">
                  <c:v>0.45118836390597361</c:v>
                </c:pt>
                <c:pt idx="4">
                  <c:v>0.55067103588277844</c:v>
                </c:pt>
                <c:pt idx="5">
                  <c:v>0.63212055882855767</c:v>
                </c:pt>
                <c:pt idx="6">
                  <c:v>0.69880578808779781</c:v>
                </c:pt>
                <c:pt idx="7">
                  <c:v>0.75340303605839354</c:v>
                </c:pt>
                <c:pt idx="8">
                  <c:v>0.79810348200534464</c:v>
                </c:pt>
                <c:pt idx="9">
                  <c:v>0.83470111177841344</c:v>
                </c:pt>
                <c:pt idx="10">
                  <c:v>0.8646647167633873</c:v>
                </c:pt>
                <c:pt idx="11">
                  <c:v>0.8891968416376661</c:v>
                </c:pt>
                <c:pt idx="12">
                  <c:v>0.90928204671058754</c:v>
                </c:pt>
                <c:pt idx="13">
                  <c:v>0.92572642178566611</c:v>
                </c:pt>
                <c:pt idx="14">
                  <c:v>0.93918993737478207</c:v>
                </c:pt>
                <c:pt idx="15">
                  <c:v>0.95021293163213605</c:v>
                </c:pt>
                <c:pt idx="16">
                  <c:v>0.95923779602163384</c:v>
                </c:pt>
                <c:pt idx="17">
                  <c:v>0.96662673003967392</c:v>
                </c:pt>
                <c:pt idx="18">
                  <c:v>0.97267627755270747</c:v>
                </c:pt>
                <c:pt idx="19">
                  <c:v>0.97762922814383435</c:v>
                </c:pt>
                <c:pt idx="20">
                  <c:v>0.98168436111126578</c:v>
                </c:pt>
                <c:pt idx="21">
                  <c:v>0.9850044231795223</c:v>
                </c:pt>
                <c:pt idx="22">
                  <c:v>0.98772266009693155</c:v>
                </c:pt>
                <c:pt idx="23">
                  <c:v>0.98994816425536647</c:v>
                </c:pt>
                <c:pt idx="24">
                  <c:v>0.99177025295097998</c:v>
                </c:pt>
                <c:pt idx="25">
                  <c:v>0.99326205300091452</c:v>
                </c:pt>
                <c:pt idx="26">
                  <c:v>0.99448343557923924</c:v>
                </c:pt>
                <c:pt idx="27">
                  <c:v>0.99548341905738735</c:v>
                </c:pt>
                <c:pt idx="28">
                  <c:v>0.99630213628351705</c:v>
                </c:pt>
                <c:pt idx="29">
                  <c:v>0.99697244525462414</c:v>
                </c:pt>
                <c:pt idx="30">
                  <c:v>0.99752124782333362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8-4D7B-B296-78C34038F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916720"/>
        <c:axId val="365909104"/>
      </c:lineChart>
      <c:catAx>
        <c:axId val="36591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čas (</a:t>
                </a:r>
                <a:r>
                  <a:rPr lang="cs-CZ">
                    <a:latin typeface="Symbol" panose="05050102010706020507" pitchFamily="18" charset="2"/>
                  </a:rPr>
                  <a:t>m</a:t>
                </a:r>
                <a:r>
                  <a:rPr lang="cs-CZ"/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65909104"/>
        <c:crosses val="autoZero"/>
        <c:auto val="1"/>
        <c:lblAlgn val="ctr"/>
        <c:lblOffset val="100"/>
        <c:noMultiLvlLbl val="0"/>
      </c:catAx>
      <c:valAx>
        <c:axId val="36590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distribuční funkce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6591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39375</xdr:colOff>
      <xdr:row>16</xdr:row>
      <xdr:rowOff>22500</xdr:rowOff>
    </xdr:to>
    <xdr:graphicFrame macro="">
      <xdr:nvGraphicFramePr>
        <xdr:cNvPr id="12" name="Graf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18</xdr:col>
      <xdr:colOff>39375</xdr:colOff>
      <xdr:row>32</xdr:row>
      <xdr:rowOff>22500</xdr:rowOff>
    </xdr:to>
    <xdr:graphicFrame macro="">
      <xdr:nvGraphicFramePr>
        <xdr:cNvPr id="13" name="Graf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18</xdr:col>
      <xdr:colOff>39375</xdr:colOff>
      <xdr:row>48</xdr:row>
      <xdr:rowOff>22500</xdr:rowOff>
    </xdr:to>
    <xdr:graphicFrame macro="">
      <xdr:nvGraphicFramePr>
        <xdr:cNvPr id="14" name="Graf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zoomScaleNormal="100" workbookViewId="0"/>
  </sheetViews>
  <sheetFormatPr defaultRowHeight="15" x14ac:dyDescent="0.25"/>
  <cols>
    <col min="1" max="19" width="10.7109375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</row>
    <row r="2" spans="1:10" x14ac:dyDescent="0.25">
      <c r="A2">
        <f ca="1">RAND()</f>
        <v>0.70372826558433221</v>
      </c>
      <c r="B2">
        <f ca="1">-100*LN(A2)</f>
        <v>35.136298372190581</v>
      </c>
      <c r="D2">
        <v>0</v>
      </c>
      <c r="E2">
        <f t="array" aca="1" ref="E2:E32" ca="1">FREQUENCY(B2:B199,D2:D32)</f>
        <v>0</v>
      </c>
      <c r="F2">
        <f>1/100*EXP(-D2/100)*200*20</f>
        <v>40</v>
      </c>
      <c r="G2">
        <f ca="1">E2/(200*20)</f>
        <v>0</v>
      </c>
      <c r="H2">
        <f>1/100*EXP(-D2/100)</f>
        <v>0.01</v>
      </c>
      <c r="I2">
        <f ca="1">G2*20</f>
        <v>0</v>
      </c>
      <c r="J2">
        <f>1-EXP(-D2/100)</f>
        <v>0</v>
      </c>
    </row>
    <row r="3" spans="1:10" x14ac:dyDescent="0.25">
      <c r="A3">
        <f t="shared" ref="A3:A66" ca="1" si="0">RAND()</f>
        <v>0.53028547171979457</v>
      </c>
      <c r="B3">
        <f t="shared" ref="B3:B66" ca="1" si="1">-100*LN(A3)</f>
        <v>63.433979155642021</v>
      </c>
      <c r="D3">
        <v>20</v>
      </c>
      <c r="E3">
        <f ca="1"/>
        <v>32</v>
      </c>
      <c r="F3">
        <f>1/100*EXP(-D3/100)*200*20</f>
        <v>32.749230123119276</v>
      </c>
      <c r="G3">
        <f t="shared" ref="G3:G32" ca="1" si="2">E3/(200*20)</f>
        <v>8.0000000000000002E-3</v>
      </c>
      <c r="H3">
        <f t="shared" ref="H3:H32" si="3">1/100*EXP(-D3/100)</f>
        <v>8.187307530779819E-3</v>
      </c>
      <c r="I3">
        <f ca="1">I2+G3*20</f>
        <v>0.16</v>
      </c>
      <c r="J3">
        <f t="shared" ref="J3:J32" si="4">1-EXP(-D3/100)</f>
        <v>0.18126924692201818</v>
      </c>
    </row>
    <row r="4" spans="1:10" x14ac:dyDescent="0.25">
      <c r="A4">
        <f t="shared" ca="1" si="0"/>
        <v>9.2853784143775875E-2</v>
      </c>
      <c r="B4">
        <f t="shared" ca="1" si="1"/>
        <v>237.67292365612818</v>
      </c>
      <c r="D4">
        <v>40</v>
      </c>
      <c r="E4">
        <f ca="1"/>
        <v>31</v>
      </c>
      <c r="F4">
        <f t="shared" ref="F4:F32" si="5">1/100*EXP(-D4/100)*200*20</f>
        <v>26.812801841425575</v>
      </c>
      <c r="G4">
        <f t="shared" ca="1" si="2"/>
        <v>7.7499999999999999E-3</v>
      </c>
      <c r="H4">
        <f t="shared" si="3"/>
        <v>6.7032004603563931E-3</v>
      </c>
      <c r="I4">
        <f t="shared" ref="I4:I32" ca="1" si="6">I3+G4*20</f>
        <v>0.315</v>
      </c>
      <c r="J4">
        <f t="shared" si="4"/>
        <v>0.32967995396436067</v>
      </c>
    </row>
    <row r="5" spans="1:10" x14ac:dyDescent="0.25">
      <c r="A5">
        <f t="shared" ca="1" si="0"/>
        <v>0.55645432565640662</v>
      </c>
      <c r="B5">
        <f t="shared" ca="1" si="1"/>
        <v>58.617018592698791</v>
      </c>
      <c r="D5">
        <v>60</v>
      </c>
      <c r="E5">
        <f ca="1"/>
        <v>30</v>
      </c>
      <c r="F5">
        <f t="shared" si="5"/>
        <v>21.952465443761056</v>
      </c>
      <c r="G5">
        <f t="shared" ca="1" si="2"/>
        <v>7.4999999999999997E-3</v>
      </c>
      <c r="H5">
        <f t="shared" si="3"/>
        <v>5.4881163609402641E-3</v>
      </c>
      <c r="I5">
        <f t="shared" ca="1" si="6"/>
        <v>0.46499999999999997</v>
      </c>
      <c r="J5">
        <f t="shared" si="4"/>
        <v>0.45118836390597361</v>
      </c>
    </row>
    <row r="6" spans="1:10" x14ac:dyDescent="0.25">
      <c r="A6">
        <f t="shared" ca="1" si="0"/>
        <v>0.50116098220508476</v>
      </c>
      <c r="B6">
        <f t="shared" ca="1" si="1"/>
        <v>69.082790774341902</v>
      </c>
      <c r="D6">
        <v>80</v>
      </c>
      <c r="E6">
        <f ca="1"/>
        <v>18</v>
      </c>
      <c r="F6">
        <f t="shared" si="5"/>
        <v>17.973158564688866</v>
      </c>
      <c r="G6">
        <f t="shared" ca="1" si="2"/>
        <v>4.4999999999999997E-3</v>
      </c>
      <c r="H6">
        <f t="shared" si="3"/>
        <v>4.4932896411722162E-3</v>
      </c>
      <c r="I6">
        <f t="shared" ca="1" si="6"/>
        <v>0.55499999999999994</v>
      </c>
      <c r="J6">
        <f t="shared" si="4"/>
        <v>0.55067103588277844</v>
      </c>
    </row>
    <row r="7" spans="1:10" x14ac:dyDescent="0.25">
      <c r="A7">
        <f t="shared" ca="1" si="0"/>
        <v>0.64201007877226679</v>
      </c>
      <c r="B7">
        <f t="shared" ca="1" si="1"/>
        <v>44.315127639318177</v>
      </c>
      <c r="D7">
        <v>100</v>
      </c>
      <c r="E7">
        <f ca="1"/>
        <v>16</v>
      </c>
      <c r="F7">
        <f t="shared" si="5"/>
        <v>14.715177646857693</v>
      </c>
      <c r="G7">
        <f t="shared" ca="1" si="2"/>
        <v>4.0000000000000001E-3</v>
      </c>
      <c r="H7">
        <f t="shared" si="3"/>
        <v>3.6787944117144234E-3</v>
      </c>
      <c r="I7">
        <f t="shared" ca="1" si="6"/>
        <v>0.6349999999999999</v>
      </c>
      <c r="J7">
        <f t="shared" si="4"/>
        <v>0.63212055882855767</v>
      </c>
    </row>
    <row r="8" spans="1:10" x14ac:dyDescent="0.25">
      <c r="A8">
        <f t="shared" ca="1" si="0"/>
        <v>0.50453715013584899</v>
      </c>
      <c r="B8">
        <f t="shared" ca="1" si="1"/>
        <v>68.411380436569061</v>
      </c>
      <c r="D8">
        <v>120</v>
      </c>
      <c r="E8">
        <f ca="1"/>
        <v>19</v>
      </c>
      <c r="F8">
        <f t="shared" si="5"/>
        <v>12.047768476488086</v>
      </c>
      <c r="G8">
        <f t="shared" ca="1" si="2"/>
        <v>4.7499999999999999E-3</v>
      </c>
      <c r="H8">
        <f t="shared" si="3"/>
        <v>3.0119421191220214E-3</v>
      </c>
      <c r="I8">
        <f t="shared" ca="1" si="6"/>
        <v>0.72999999999999987</v>
      </c>
      <c r="J8">
        <f t="shared" si="4"/>
        <v>0.69880578808779781</v>
      </c>
    </row>
    <row r="9" spans="1:10" x14ac:dyDescent="0.25">
      <c r="A9">
        <f t="shared" ca="1" si="0"/>
        <v>0.95303191920091523</v>
      </c>
      <c r="B9">
        <f t="shared" ca="1" si="1"/>
        <v>4.8106882498568684</v>
      </c>
      <c r="D9">
        <v>140</v>
      </c>
      <c r="E9">
        <f ca="1"/>
        <v>7</v>
      </c>
      <c r="F9">
        <f t="shared" si="5"/>
        <v>9.8638785576642594</v>
      </c>
      <c r="G9">
        <f t="shared" ca="1" si="2"/>
        <v>1.75E-3</v>
      </c>
      <c r="H9">
        <f t="shared" si="3"/>
        <v>2.4659696394160649E-3</v>
      </c>
      <c r="I9">
        <f t="shared" ca="1" si="6"/>
        <v>0.7649999999999999</v>
      </c>
      <c r="J9">
        <f t="shared" si="4"/>
        <v>0.75340303605839354</v>
      </c>
    </row>
    <row r="10" spans="1:10" x14ac:dyDescent="0.25">
      <c r="A10">
        <f t="shared" ca="1" si="0"/>
        <v>0.82357188094478784</v>
      </c>
      <c r="B10">
        <f t="shared" ca="1" si="1"/>
        <v>19.410444605195877</v>
      </c>
      <c r="D10">
        <v>160</v>
      </c>
      <c r="E10">
        <f ca="1"/>
        <v>7</v>
      </c>
      <c r="F10">
        <f t="shared" si="5"/>
        <v>8.0758607197862151</v>
      </c>
      <c r="G10">
        <f t="shared" ca="1" si="2"/>
        <v>1.75E-3</v>
      </c>
      <c r="H10">
        <f t="shared" si="3"/>
        <v>2.0189651799465539E-3</v>
      </c>
      <c r="I10">
        <f t="shared" ca="1" si="6"/>
        <v>0.79999999999999993</v>
      </c>
      <c r="J10">
        <f t="shared" si="4"/>
        <v>0.79810348200534464</v>
      </c>
    </row>
    <row r="11" spans="1:10" x14ac:dyDescent="0.25">
      <c r="A11">
        <f t="shared" ca="1" si="0"/>
        <v>0.87701929451261418</v>
      </c>
      <c r="B11">
        <f t="shared" ca="1" si="1"/>
        <v>13.122628626745456</v>
      </c>
      <c r="D11">
        <v>180</v>
      </c>
      <c r="E11">
        <f ca="1"/>
        <v>7</v>
      </c>
      <c r="F11">
        <f t="shared" si="5"/>
        <v>6.6119555288634615</v>
      </c>
      <c r="G11">
        <f t="shared" ca="1" si="2"/>
        <v>1.75E-3</v>
      </c>
      <c r="H11">
        <f t="shared" si="3"/>
        <v>1.6529888822158654E-3</v>
      </c>
      <c r="I11">
        <f t="shared" ca="1" si="6"/>
        <v>0.83499999999999996</v>
      </c>
      <c r="J11">
        <f t="shared" si="4"/>
        <v>0.83470111177841344</v>
      </c>
    </row>
    <row r="12" spans="1:10" x14ac:dyDescent="0.25">
      <c r="A12">
        <f t="shared" ca="1" si="0"/>
        <v>0.50793605348737969</v>
      </c>
      <c r="B12">
        <f t="shared" ca="1" si="1"/>
        <v>67.739971828892763</v>
      </c>
      <c r="D12" s="1">
        <v>200</v>
      </c>
      <c r="E12" s="1">
        <f ca="1"/>
        <v>8</v>
      </c>
      <c r="F12" s="1">
        <f t="shared" si="5"/>
        <v>5.4134113294645081</v>
      </c>
      <c r="G12" s="1">
        <f t="shared" ca="1" si="2"/>
        <v>2E-3</v>
      </c>
      <c r="H12" s="1">
        <f t="shared" si="3"/>
        <v>1.3533528323661271E-3</v>
      </c>
      <c r="I12" s="1">
        <f t="shared" ca="1" si="6"/>
        <v>0.875</v>
      </c>
      <c r="J12" s="1">
        <f t="shared" si="4"/>
        <v>0.8646647167633873</v>
      </c>
    </row>
    <row r="13" spans="1:10" x14ac:dyDescent="0.25">
      <c r="A13">
        <f t="shared" ca="1" si="0"/>
        <v>0.63479822464009505</v>
      </c>
      <c r="B13">
        <f t="shared" ca="1" si="1"/>
        <v>45.444808705702158</v>
      </c>
      <c r="D13">
        <v>220</v>
      </c>
      <c r="E13">
        <f ca="1"/>
        <v>3</v>
      </c>
      <c r="F13">
        <f t="shared" si="5"/>
        <v>4.432126334493355</v>
      </c>
      <c r="G13">
        <f t="shared" ca="1" si="2"/>
        <v>7.5000000000000002E-4</v>
      </c>
      <c r="H13">
        <f t="shared" si="3"/>
        <v>1.1080315836233387E-3</v>
      </c>
      <c r="I13">
        <f t="shared" ca="1" si="6"/>
        <v>0.89</v>
      </c>
      <c r="J13">
        <f t="shared" si="4"/>
        <v>0.8891968416376661</v>
      </c>
    </row>
    <row r="14" spans="1:10" x14ac:dyDescent="0.25">
      <c r="A14">
        <f t="shared" ca="1" si="0"/>
        <v>0.50076783487758858</v>
      </c>
      <c r="B14">
        <f t="shared" ca="1" si="1"/>
        <v>69.161268873977477</v>
      </c>
      <c r="D14">
        <v>240</v>
      </c>
      <c r="E14">
        <f ca="1"/>
        <v>4</v>
      </c>
      <c r="F14">
        <f t="shared" si="5"/>
        <v>3.6287181315765005</v>
      </c>
      <c r="G14">
        <f t="shared" ca="1" si="2"/>
        <v>1E-3</v>
      </c>
      <c r="H14">
        <f t="shared" si="3"/>
        <v>9.0717953289412513E-4</v>
      </c>
      <c r="I14">
        <f t="shared" ca="1" si="6"/>
        <v>0.91</v>
      </c>
      <c r="J14">
        <f t="shared" si="4"/>
        <v>0.90928204671058754</v>
      </c>
    </row>
    <row r="15" spans="1:10" x14ac:dyDescent="0.25">
      <c r="A15">
        <f t="shared" ca="1" si="0"/>
        <v>0.22182580772708871</v>
      </c>
      <c r="B15">
        <f t="shared" ca="1" si="1"/>
        <v>150.58628549866765</v>
      </c>
      <c r="D15">
        <v>260</v>
      </c>
      <c r="E15">
        <f ca="1"/>
        <v>1</v>
      </c>
      <c r="F15">
        <f t="shared" si="5"/>
        <v>2.9709431285733552</v>
      </c>
      <c r="G15">
        <f t="shared" ca="1" si="2"/>
        <v>2.5000000000000001E-4</v>
      </c>
      <c r="H15">
        <f t="shared" si="3"/>
        <v>7.4273578214333882E-4</v>
      </c>
      <c r="I15">
        <f t="shared" ca="1" si="6"/>
        <v>0.91500000000000004</v>
      </c>
      <c r="J15">
        <f t="shared" si="4"/>
        <v>0.92572642178566611</v>
      </c>
    </row>
    <row r="16" spans="1:10" x14ac:dyDescent="0.25">
      <c r="A16">
        <f t="shared" ca="1" si="0"/>
        <v>0.62117889716743002</v>
      </c>
      <c r="B16">
        <f t="shared" ca="1" si="1"/>
        <v>47.613615936089069</v>
      </c>
      <c r="D16">
        <v>280</v>
      </c>
      <c r="E16">
        <f ca="1"/>
        <v>3</v>
      </c>
      <c r="F16">
        <f t="shared" si="5"/>
        <v>2.432402505008719</v>
      </c>
      <c r="G16">
        <f t="shared" ca="1" si="2"/>
        <v>7.5000000000000002E-4</v>
      </c>
      <c r="H16">
        <f t="shared" si="3"/>
        <v>6.0810062625217976E-4</v>
      </c>
      <c r="I16">
        <f t="shared" ca="1" si="6"/>
        <v>0.93</v>
      </c>
      <c r="J16">
        <f t="shared" si="4"/>
        <v>0.93918993737478207</v>
      </c>
    </row>
    <row r="17" spans="1:10" x14ac:dyDescent="0.25">
      <c r="A17">
        <f t="shared" ca="1" si="0"/>
        <v>0.31424817099063285</v>
      </c>
      <c r="B17">
        <f t="shared" ca="1" si="1"/>
        <v>115.75722517653675</v>
      </c>
      <c r="D17">
        <v>300</v>
      </c>
      <c r="E17">
        <f ca="1"/>
        <v>1</v>
      </c>
      <c r="F17">
        <f t="shared" si="5"/>
        <v>1.9914827347145581</v>
      </c>
      <c r="G17">
        <f t="shared" ca="1" si="2"/>
        <v>2.5000000000000001E-4</v>
      </c>
      <c r="H17">
        <f t="shared" si="3"/>
        <v>4.978706836786395E-4</v>
      </c>
      <c r="I17">
        <f t="shared" ca="1" si="6"/>
        <v>0.93500000000000005</v>
      </c>
      <c r="J17">
        <f t="shared" si="4"/>
        <v>0.95021293163213605</v>
      </c>
    </row>
    <row r="18" spans="1:10" x14ac:dyDescent="0.25">
      <c r="A18">
        <f t="shared" ca="1" si="0"/>
        <v>0.36143818326359423</v>
      </c>
      <c r="B18">
        <f t="shared" ca="1" si="1"/>
        <v>101.76642526595543</v>
      </c>
      <c r="D18">
        <v>320</v>
      </c>
      <c r="E18">
        <f ca="1"/>
        <v>3</v>
      </c>
      <c r="F18">
        <f t="shared" si="5"/>
        <v>1.6304881591346485</v>
      </c>
      <c r="G18">
        <f t="shared" ca="1" si="2"/>
        <v>7.5000000000000002E-4</v>
      </c>
      <c r="H18">
        <f t="shared" si="3"/>
        <v>4.076220397836621E-4</v>
      </c>
      <c r="I18">
        <f t="shared" ca="1" si="6"/>
        <v>0.95000000000000007</v>
      </c>
      <c r="J18">
        <f t="shared" si="4"/>
        <v>0.95923779602163384</v>
      </c>
    </row>
    <row r="19" spans="1:10" x14ac:dyDescent="0.25">
      <c r="A19">
        <f t="shared" ca="1" si="0"/>
        <v>0.80963290509232044</v>
      </c>
      <c r="B19">
        <f t="shared" ca="1" si="1"/>
        <v>21.117433763316622</v>
      </c>
      <c r="D19">
        <v>340</v>
      </c>
      <c r="E19">
        <f ca="1"/>
        <v>2</v>
      </c>
      <c r="F19">
        <f t="shared" si="5"/>
        <v>1.3349307984130432</v>
      </c>
      <c r="G19">
        <f t="shared" ca="1" si="2"/>
        <v>5.0000000000000001E-4</v>
      </c>
      <c r="H19">
        <f t="shared" si="3"/>
        <v>3.3373269960326079E-4</v>
      </c>
      <c r="I19">
        <f t="shared" ca="1" si="6"/>
        <v>0.96000000000000008</v>
      </c>
      <c r="J19">
        <f t="shared" si="4"/>
        <v>0.96662673003967392</v>
      </c>
    </row>
    <row r="20" spans="1:10" x14ac:dyDescent="0.25">
      <c r="A20">
        <f t="shared" ca="1" si="0"/>
        <v>0.77218416659490507</v>
      </c>
      <c r="B20">
        <f t="shared" ca="1" si="1"/>
        <v>25.85321996423189</v>
      </c>
      <c r="D20">
        <v>360</v>
      </c>
      <c r="E20">
        <f ca="1"/>
        <v>2</v>
      </c>
      <c r="F20">
        <f t="shared" si="5"/>
        <v>1.0929488978917026</v>
      </c>
      <c r="G20">
        <f t="shared" ca="1" si="2"/>
        <v>5.0000000000000001E-4</v>
      </c>
      <c r="H20">
        <f t="shared" si="3"/>
        <v>2.7323722447292561E-4</v>
      </c>
      <c r="I20">
        <f t="shared" ca="1" si="6"/>
        <v>0.97000000000000008</v>
      </c>
      <c r="J20">
        <f t="shared" si="4"/>
        <v>0.97267627755270747</v>
      </c>
    </row>
    <row r="21" spans="1:10" x14ac:dyDescent="0.25">
      <c r="A21">
        <f t="shared" ca="1" si="0"/>
        <v>0.34079567455080728</v>
      </c>
      <c r="B21">
        <f t="shared" ca="1" si="1"/>
        <v>107.64721761532743</v>
      </c>
      <c r="D21">
        <v>380</v>
      </c>
      <c r="E21">
        <f ca="1"/>
        <v>0</v>
      </c>
      <c r="F21">
        <f t="shared" si="5"/>
        <v>0.894830874246624</v>
      </c>
      <c r="G21">
        <f t="shared" ca="1" si="2"/>
        <v>0</v>
      </c>
      <c r="H21">
        <f t="shared" si="3"/>
        <v>2.2370771856165602E-4</v>
      </c>
      <c r="I21">
        <f t="shared" ca="1" si="6"/>
        <v>0.97000000000000008</v>
      </c>
      <c r="J21">
        <f t="shared" si="4"/>
        <v>0.97762922814383435</v>
      </c>
    </row>
    <row r="22" spans="1:10" x14ac:dyDescent="0.25">
      <c r="A22">
        <f t="shared" ca="1" si="0"/>
        <v>0.41435077540722121</v>
      </c>
      <c r="B22">
        <f t="shared" ca="1" si="1"/>
        <v>88.10423803066206</v>
      </c>
      <c r="D22">
        <v>400</v>
      </c>
      <c r="E22">
        <f ca="1"/>
        <v>0</v>
      </c>
      <c r="F22">
        <f t="shared" si="5"/>
        <v>0.73262555554936715</v>
      </c>
      <c r="G22">
        <f t="shared" ca="1" si="2"/>
        <v>0</v>
      </c>
      <c r="H22">
        <f t="shared" si="3"/>
        <v>1.8315638888734178E-4</v>
      </c>
      <c r="I22">
        <f t="shared" ca="1" si="6"/>
        <v>0.97000000000000008</v>
      </c>
      <c r="J22">
        <f t="shared" si="4"/>
        <v>0.98168436111126578</v>
      </c>
    </row>
    <row r="23" spans="1:10" x14ac:dyDescent="0.25">
      <c r="A23">
        <f t="shared" ca="1" si="0"/>
        <v>0.85287544201850607</v>
      </c>
      <c r="B23">
        <f t="shared" ca="1" si="1"/>
        <v>15.914176557787982</v>
      </c>
      <c r="D23">
        <v>420</v>
      </c>
      <c r="E23">
        <f ca="1"/>
        <v>0</v>
      </c>
      <c r="F23">
        <f t="shared" si="5"/>
        <v>0.59982307281910807</v>
      </c>
      <c r="G23">
        <f t="shared" ca="1" si="2"/>
        <v>0</v>
      </c>
      <c r="H23">
        <f t="shared" si="3"/>
        <v>1.4995576820477704E-4</v>
      </c>
      <c r="I23">
        <f t="shared" ca="1" si="6"/>
        <v>0.97000000000000008</v>
      </c>
      <c r="J23">
        <f t="shared" si="4"/>
        <v>0.9850044231795223</v>
      </c>
    </row>
    <row r="24" spans="1:10" x14ac:dyDescent="0.25">
      <c r="A24">
        <f t="shared" ca="1" si="0"/>
        <v>0.97729716846220027</v>
      </c>
      <c r="B24">
        <f t="shared" ca="1" si="1"/>
        <v>2.2964508948205116</v>
      </c>
      <c r="D24">
        <v>440</v>
      </c>
      <c r="E24">
        <f ca="1"/>
        <v>1</v>
      </c>
      <c r="F24">
        <f t="shared" si="5"/>
        <v>0.49109359612273751</v>
      </c>
      <c r="G24">
        <f t="shared" ca="1" si="2"/>
        <v>2.5000000000000001E-4</v>
      </c>
      <c r="H24">
        <f t="shared" si="3"/>
        <v>1.2277339903068437E-4</v>
      </c>
      <c r="I24">
        <f t="shared" ca="1" si="6"/>
        <v>0.97500000000000009</v>
      </c>
      <c r="J24">
        <f t="shared" si="4"/>
        <v>0.98772266009693155</v>
      </c>
    </row>
    <row r="25" spans="1:10" x14ac:dyDescent="0.25">
      <c r="A25">
        <f t="shared" ca="1" si="0"/>
        <v>6.906022504639453E-2</v>
      </c>
      <c r="B25">
        <f t="shared" ca="1" si="1"/>
        <v>267.27763283173101</v>
      </c>
      <c r="D25">
        <v>460</v>
      </c>
      <c r="E25">
        <f ca="1"/>
        <v>1</v>
      </c>
      <c r="F25">
        <f t="shared" si="5"/>
        <v>0.40207342978534344</v>
      </c>
      <c r="G25">
        <f t="shared" ca="1" si="2"/>
        <v>2.5000000000000001E-4</v>
      </c>
      <c r="H25">
        <f t="shared" si="3"/>
        <v>1.0051835744633587E-4</v>
      </c>
      <c r="I25">
        <f t="shared" ca="1" si="6"/>
        <v>0.98000000000000009</v>
      </c>
      <c r="J25">
        <f t="shared" si="4"/>
        <v>0.98994816425536647</v>
      </c>
    </row>
    <row r="26" spans="1:10" x14ac:dyDescent="0.25">
      <c r="A26">
        <f t="shared" ca="1" si="0"/>
        <v>0.89135333666515759</v>
      </c>
      <c r="B26">
        <f t="shared" ca="1" si="1"/>
        <v>11.501436820746457</v>
      </c>
      <c r="D26">
        <v>480</v>
      </c>
      <c r="E26">
        <f ca="1"/>
        <v>0</v>
      </c>
      <c r="F26">
        <f t="shared" si="5"/>
        <v>0.32918988196080123</v>
      </c>
      <c r="G26">
        <f t="shared" ca="1" si="2"/>
        <v>0</v>
      </c>
      <c r="H26">
        <f t="shared" si="3"/>
        <v>8.2297470490200309E-5</v>
      </c>
      <c r="I26">
        <f t="shared" ca="1" si="6"/>
        <v>0.98000000000000009</v>
      </c>
      <c r="J26">
        <f t="shared" si="4"/>
        <v>0.99177025295097998</v>
      </c>
    </row>
    <row r="27" spans="1:10" x14ac:dyDescent="0.25">
      <c r="A27">
        <f t="shared" ca="1" si="0"/>
        <v>1.220684870002875E-2</v>
      </c>
      <c r="B27">
        <f t="shared" ca="1" si="1"/>
        <v>440.57581158966616</v>
      </c>
      <c r="D27">
        <v>500</v>
      </c>
      <c r="E27">
        <f ca="1"/>
        <v>0</v>
      </c>
      <c r="F27">
        <f t="shared" si="5"/>
        <v>0.26951787996341869</v>
      </c>
      <c r="G27">
        <f t="shared" ca="1" si="2"/>
        <v>0</v>
      </c>
      <c r="H27">
        <f t="shared" si="3"/>
        <v>6.7379469990854672E-5</v>
      </c>
      <c r="I27">
        <f t="shared" ca="1" si="6"/>
        <v>0.98000000000000009</v>
      </c>
      <c r="J27">
        <f t="shared" si="4"/>
        <v>0.99326205300091452</v>
      </c>
    </row>
    <row r="28" spans="1:10" x14ac:dyDescent="0.25">
      <c r="A28">
        <f t="shared" ca="1" si="0"/>
        <v>0.37404024530617652</v>
      </c>
      <c r="B28">
        <f t="shared" ca="1" si="1"/>
        <v>98.33918795863805</v>
      </c>
      <c r="D28">
        <v>520</v>
      </c>
      <c r="E28">
        <f ca="1"/>
        <v>0</v>
      </c>
      <c r="F28">
        <f t="shared" si="5"/>
        <v>0.22066257683043086</v>
      </c>
      <c r="G28">
        <f t="shared" ca="1" si="2"/>
        <v>0</v>
      </c>
      <c r="H28">
        <f t="shared" si="3"/>
        <v>5.5165644207607714E-5</v>
      </c>
      <c r="I28">
        <f t="shared" ca="1" si="6"/>
        <v>0.98000000000000009</v>
      </c>
      <c r="J28">
        <f t="shared" si="4"/>
        <v>0.99448343557923924</v>
      </c>
    </row>
    <row r="29" spans="1:10" x14ac:dyDescent="0.25">
      <c r="A29">
        <f t="shared" ca="1" si="0"/>
        <v>0.22952003013964983</v>
      </c>
      <c r="B29">
        <f t="shared" ca="1" si="1"/>
        <v>147.17649759930299</v>
      </c>
      <c r="D29">
        <v>540</v>
      </c>
      <c r="E29">
        <f ca="1"/>
        <v>1</v>
      </c>
      <c r="F29">
        <f t="shared" si="5"/>
        <v>0.18066323770450665</v>
      </c>
      <c r="G29">
        <f t="shared" ca="1" si="2"/>
        <v>2.5000000000000001E-4</v>
      </c>
      <c r="H29">
        <f t="shared" si="3"/>
        <v>4.5165809426126662E-5</v>
      </c>
      <c r="I29">
        <f t="shared" ca="1" si="6"/>
        <v>0.9850000000000001</v>
      </c>
      <c r="J29">
        <f t="shared" si="4"/>
        <v>0.99548341905738735</v>
      </c>
    </row>
    <row r="30" spans="1:10" x14ac:dyDescent="0.25">
      <c r="A30">
        <f t="shared" ca="1" si="0"/>
        <v>2.844391538826907E-2</v>
      </c>
      <c r="B30">
        <f t="shared" ca="1" si="1"/>
        <v>355.98210116429351</v>
      </c>
      <c r="D30">
        <v>560</v>
      </c>
      <c r="E30">
        <f ca="1"/>
        <v>0</v>
      </c>
      <c r="F30">
        <f t="shared" si="5"/>
        <v>0.14791454865931727</v>
      </c>
      <c r="G30">
        <f t="shared" ca="1" si="2"/>
        <v>0</v>
      </c>
      <c r="H30">
        <f t="shared" si="3"/>
        <v>3.6978637164829318E-5</v>
      </c>
      <c r="I30">
        <f t="shared" ca="1" si="6"/>
        <v>0.9850000000000001</v>
      </c>
      <c r="J30">
        <f t="shared" si="4"/>
        <v>0.99630213628351705</v>
      </c>
    </row>
    <row r="31" spans="1:10" x14ac:dyDescent="0.25">
      <c r="A31">
        <f t="shared" ca="1" si="0"/>
        <v>0.98011110537799828</v>
      </c>
      <c r="B31">
        <f t="shared" ca="1" si="1"/>
        <v>2.0089340909041447</v>
      </c>
      <c r="D31">
        <v>580</v>
      </c>
      <c r="E31">
        <f ca="1"/>
        <v>0</v>
      </c>
      <c r="F31">
        <f t="shared" si="5"/>
        <v>0.12110218981503262</v>
      </c>
      <c r="G31">
        <f t="shared" ca="1" si="2"/>
        <v>0</v>
      </c>
      <c r="H31">
        <f t="shared" si="3"/>
        <v>3.0275547453758156E-5</v>
      </c>
      <c r="I31">
        <f t="shared" ca="1" si="6"/>
        <v>0.9850000000000001</v>
      </c>
      <c r="J31">
        <f t="shared" si="4"/>
        <v>0.99697244525462414</v>
      </c>
    </row>
    <row r="32" spans="1:10" x14ac:dyDescent="0.25">
      <c r="A32">
        <f t="shared" ca="1" si="0"/>
        <v>0.92869349549384217</v>
      </c>
      <c r="B32">
        <f t="shared" ca="1" si="1"/>
        <v>7.3976524107718644</v>
      </c>
      <c r="D32">
        <v>600</v>
      </c>
      <c r="E32">
        <f ca="1"/>
        <v>1</v>
      </c>
      <c r="F32">
        <f t="shared" si="5"/>
        <v>9.9150087066654347E-2</v>
      </c>
      <c r="G32">
        <f t="shared" ca="1" si="2"/>
        <v>2.5000000000000001E-4</v>
      </c>
      <c r="H32">
        <f t="shared" si="3"/>
        <v>2.4787521766663585E-5</v>
      </c>
      <c r="I32">
        <f t="shared" ca="1" si="6"/>
        <v>0.9900000000000001</v>
      </c>
      <c r="J32">
        <f t="shared" si="4"/>
        <v>0.99752124782333362</v>
      </c>
    </row>
    <row r="33" spans="1:9" x14ac:dyDescent="0.25">
      <c r="A33">
        <f t="shared" ca="1" si="0"/>
        <v>0.19588548409142736</v>
      </c>
      <c r="B33">
        <f t="shared" ca="1" si="1"/>
        <v>163.02250553404895</v>
      </c>
    </row>
    <row r="34" spans="1:9" x14ac:dyDescent="0.25">
      <c r="A34">
        <f t="shared" ca="1" si="0"/>
        <v>0.6163676196158534</v>
      </c>
      <c r="B34">
        <f t="shared" ca="1" si="1"/>
        <v>48.391170836335128</v>
      </c>
      <c r="D34" s="2" t="s">
        <v>9</v>
      </c>
      <c r="E34" s="2"/>
      <c r="F34" s="2"/>
      <c r="G34" s="2"/>
      <c r="H34" s="2"/>
      <c r="I34" s="2"/>
    </row>
    <row r="35" spans="1:9" x14ac:dyDescent="0.25">
      <c r="A35">
        <f t="shared" ca="1" si="0"/>
        <v>0.9239080238172126</v>
      </c>
      <c r="B35">
        <f t="shared" ca="1" si="1"/>
        <v>7.9142753618382207</v>
      </c>
      <c r="D35" s="2" t="s">
        <v>10</v>
      </c>
      <c r="E35" s="2"/>
      <c r="F35" s="2">
        <f ca="1">1-I12</f>
        <v>0.125</v>
      </c>
      <c r="G35" s="2"/>
      <c r="H35" s="2"/>
      <c r="I35" s="2"/>
    </row>
    <row r="36" spans="1:9" x14ac:dyDescent="0.25">
      <c r="A36">
        <f t="shared" ca="1" si="0"/>
        <v>0.80058006586463537</v>
      </c>
      <c r="B36">
        <f t="shared" ca="1" si="1"/>
        <v>22.241873172860849</v>
      </c>
      <c r="D36" s="2" t="s">
        <v>11</v>
      </c>
      <c r="E36" s="2"/>
      <c r="F36" s="3">
        <f>1-J12</f>
        <v>0.1353352832366127</v>
      </c>
      <c r="G36" s="2"/>
      <c r="H36" s="2"/>
      <c r="I36" s="2"/>
    </row>
    <row r="37" spans="1:9" x14ac:dyDescent="0.25">
      <c r="A37">
        <f t="shared" ca="1" si="0"/>
        <v>0.90310279618463762</v>
      </c>
      <c r="B37">
        <f t="shared" ca="1" si="1"/>
        <v>10.191889352307101</v>
      </c>
    </row>
    <row r="38" spans="1:9" x14ac:dyDescent="0.25">
      <c r="A38">
        <f t="shared" ca="1" si="0"/>
        <v>0.52765104162722887</v>
      </c>
      <c r="B38">
        <f t="shared" ca="1" si="1"/>
        <v>63.932011977956314</v>
      </c>
    </row>
    <row r="39" spans="1:9" x14ac:dyDescent="0.25">
      <c r="A39">
        <f t="shared" ca="1" si="0"/>
        <v>0.85224468014879051</v>
      </c>
      <c r="B39">
        <f t="shared" ca="1" si="1"/>
        <v>15.988161010881585</v>
      </c>
    </row>
    <row r="40" spans="1:9" x14ac:dyDescent="0.25">
      <c r="A40">
        <f t="shared" ca="1" si="0"/>
        <v>0.59653030967022092</v>
      </c>
      <c r="B40">
        <f t="shared" ca="1" si="1"/>
        <v>51.662522621165728</v>
      </c>
    </row>
    <row r="41" spans="1:9" x14ac:dyDescent="0.25">
      <c r="A41">
        <f t="shared" ca="1" si="0"/>
        <v>0.53566428087739559</v>
      </c>
      <c r="B41">
        <f t="shared" ca="1" si="1"/>
        <v>62.424765579185816</v>
      </c>
    </row>
    <row r="42" spans="1:9" x14ac:dyDescent="0.25">
      <c r="A42">
        <f t="shared" ca="1" si="0"/>
        <v>0.73384618463354989</v>
      </c>
      <c r="B42">
        <f t="shared" ca="1" si="1"/>
        <v>30.945583004786776</v>
      </c>
    </row>
    <row r="43" spans="1:9" x14ac:dyDescent="0.25">
      <c r="A43">
        <f t="shared" ca="1" si="0"/>
        <v>0.90056308618142789</v>
      </c>
      <c r="B43">
        <f t="shared" ca="1" si="1"/>
        <v>10.47350599833146</v>
      </c>
    </row>
    <row r="44" spans="1:9" x14ac:dyDescent="0.25">
      <c r="A44">
        <f t="shared" ca="1" si="0"/>
        <v>0.76760125076383046</v>
      </c>
      <c r="B44">
        <f t="shared" ca="1" si="1"/>
        <v>26.448488540251162</v>
      </c>
    </row>
    <row r="45" spans="1:9" x14ac:dyDescent="0.25">
      <c r="A45">
        <f t="shared" ca="1" si="0"/>
        <v>0.14998561656597431</v>
      </c>
      <c r="B45">
        <f t="shared" ca="1" si="1"/>
        <v>189.72158790437504</v>
      </c>
    </row>
    <row r="46" spans="1:9" x14ac:dyDescent="0.25">
      <c r="A46">
        <f t="shared" ca="1" si="0"/>
        <v>0.74281564334833727</v>
      </c>
      <c r="B46">
        <f t="shared" ca="1" si="1"/>
        <v>29.730738975181552</v>
      </c>
    </row>
    <row r="47" spans="1:9" x14ac:dyDescent="0.25">
      <c r="A47">
        <f t="shared" ca="1" si="0"/>
        <v>3.9915649035210943E-2</v>
      </c>
      <c r="B47">
        <f t="shared" ca="1" si="1"/>
        <v>322.09868255828792</v>
      </c>
    </row>
    <row r="48" spans="1:9" x14ac:dyDescent="0.25">
      <c r="A48">
        <f t="shared" ca="1" si="0"/>
        <v>0.26491199938029164</v>
      </c>
      <c r="B48">
        <f t="shared" ca="1" si="1"/>
        <v>132.8357585956181</v>
      </c>
    </row>
    <row r="49" spans="1:2" x14ac:dyDescent="0.25">
      <c r="A49">
        <f t="shared" ca="1" si="0"/>
        <v>0.60430747172918708</v>
      </c>
      <c r="B49">
        <f t="shared" ca="1" si="1"/>
        <v>50.36721514196941</v>
      </c>
    </row>
    <row r="50" spans="1:2" x14ac:dyDescent="0.25">
      <c r="A50">
        <f t="shared" ca="1" si="0"/>
        <v>0.41657107285049688</v>
      </c>
      <c r="B50">
        <f t="shared" ca="1" si="1"/>
        <v>87.569818883468514</v>
      </c>
    </row>
    <row r="51" spans="1:2" x14ac:dyDescent="0.25">
      <c r="A51">
        <f t="shared" ca="1" si="0"/>
        <v>0.57030804947712377</v>
      </c>
      <c r="B51">
        <f t="shared" ca="1" si="1"/>
        <v>56.15786264582249</v>
      </c>
    </row>
    <row r="52" spans="1:2" x14ac:dyDescent="0.25">
      <c r="A52">
        <f t="shared" ca="1" si="0"/>
        <v>0.78892203408814543</v>
      </c>
      <c r="B52">
        <f t="shared" ca="1" si="1"/>
        <v>23.708777913024566</v>
      </c>
    </row>
    <row r="53" spans="1:2" x14ac:dyDescent="0.25">
      <c r="A53">
        <f t="shared" ca="1" si="0"/>
        <v>0.96544252521962615</v>
      </c>
      <c r="B53">
        <f t="shared" ca="1" si="1"/>
        <v>3.5168707399570907</v>
      </c>
    </row>
    <row r="54" spans="1:2" x14ac:dyDescent="0.25">
      <c r="A54">
        <f t="shared" ca="1" si="0"/>
        <v>0.21140602786381091</v>
      </c>
      <c r="B54">
        <f t="shared" ca="1" si="1"/>
        <v>155.39746919325975</v>
      </c>
    </row>
    <row r="55" spans="1:2" x14ac:dyDescent="0.25">
      <c r="A55">
        <f t="shared" ca="1" si="0"/>
        <v>0.94696982841597666</v>
      </c>
      <c r="B55">
        <f t="shared" ca="1" si="1"/>
        <v>5.4488046476808014</v>
      </c>
    </row>
    <row r="56" spans="1:2" x14ac:dyDescent="0.25">
      <c r="A56">
        <f t="shared" ca="1" si="0"/>
        <v>0.24833809417081487</v>
      </c>
      <c r="B56">
        <f t="shared" ca="1" si="1"/>
        <v>139.29641782968079</v>
      </c>
    </row>
    <row r="57" spans="1:2" x14ac:dyDescent="0.25">
      <c r="A57">
        <f t="shared" ca="1" si="0"/>
        <v>0.14820503850368683</v>
      </c>
      <c r="B57">
        <f t="shared" ca="1" si="1"/>
        <v>190.91585686974838</v>
      </c>
    </row>
    <row r="58" spans="1:2" x14ac:dyDescent="0.25">
      <c r="A58">
        <f t="shared" ca="1" si="0"/>
        <v>0.71057687253335911</v>
      </c>
      <c r="B58">
        <f t="shared" ca="1" si="1"/>
        <v>34.167814231753916</v>
      </c>
    </row>
    <row r="59" spans="1:2" x14ac:dyDescent="0.25">
      <c r="A59">
        <f t="shared" ca="1" si="0"/>
        <v>0.78750696772891426</v>
      </c>
      <c r="B59">
        <f t="shared" ca="1" si="1"/>
        <v>23.888306041175905</v>
      </c>
    </row>
    <row r="60" spans="1:2" x14ac:dyDescent="0.25">
      <c r="A60">
        <f t="shared" ca="1" si="0"/>
        <v>0.20186755826062197</v>
      </c>
      <c r="B60">
        <f t="shared" ca="1" si="1"/>
        <v>160.01434487899553</v>
      </c>
    </row>
    <row r="61" spans="1:2" x14ac:dyDescent="0.25">
      <c r="A61">
        <f t="shared" ca="1" si="0"/>
        <v>0.42369251497251248</v>
      </c>
      <c r="B61">
        <f t="shared" ca="1" si="1"/>
        <v>85.874728737181627</v>
      </c>
    </row>
    <row r="62" spans="1:2" x14ac:dyDescent="0.25">
      <c r="A62">
        <f t="shared" ca="1" si="0"/>
        <v>4.3627065087075256E-2</v>
      </c>
      <c r="B62">
        <f t="shared" ca="1" si="1"/>
        <v>313.20775623403699</v>
      </c>
    </row>
    <row r="63" spans="1:2" x14ac:dyDescent="0.25">
      <c r="A63">
        <f t="shared" ca="1" si="0"/>
        <v>0.35646435985511238</v>
      </c>
      <c r="B63">
        <f t="shared" ca="1" si="1"/>
        <v>103.15210164812815</v>
      </c>
    </row>
    <row r="64" spans="1:2" x14ac:dyDescent="0.25">
      <c r="A64">
        <f t="shared" ca="1" si="0"/>
        <v>0.77846408264822076</v>
      </c>
      <c r="B64">
        <f t="shared" ca="1" si="1"/>
        <v>25.043242538355887</v>
      </c>
    </row>
    <row r="65" spans="1:2" x14ac:dyDescent="0.25">
      <c r="A65">
        <f t="shared" ca="1" si="0"/>
        <v>4.7109211163486431E-2</v>
      </c>
      <c r="B65">
        <f t="shared" ca="1" si="1"/>
        <v>305.5286730976577</v>
      </c>
    </row>
    <row r="66" spans="1:2" x14ac:dyDescent="0.25">
      <c r="A66">
        <f t="shared" ca="1" si="0"/>
        <v>0.16468528370539237</v>
      </c>
      <c r="B66">
        <f t="shared" ca="1" si="1"/>
        <v>180.37189979133748</v>
      </c>
    </row>
    <row r="67" spans="1:2" x14ac:dyDescent="0.25">
      <c r="A67">
        <f t="shared" ref="A67:A100" ca="1" si="7">RAND()</f>
        <v>0.21045974474262386</v>
      </c>
      <c r="B67">
        <f t="shared" ref="B67:B100" ca="1" si="8">-100*LN(A67)</f>
        <v>155.84608805247925</v>
      </c>
    </row>
    <row r="68" spans="1:2" x14ac:dyDescent="0.25">
      <c r="A68">
        <f t="shared" ca="1" si="7"/>
        <v>0.61664100369039643</v>
      </c>
      <c r="B68">
        <f t="shared" ca="1" si="8"/>
        <v>48.346826608102589</v>
      </c>
    </row>
    <row r="69" spans="1:2" x14ac:dyDescent="0.25">
      <c r="A69">
        <f t="shared" ca="1" si="7"/>
        <v>0.27631324079990016</v>
      </c>
      <c r="B69">
        <f t="shared" ca="1" si="8"/>
        <v>128.62201263772371</v>
      </c>
    </row>
    <row r="70" spans="1:2" x14ac:dyDescent="0.25">
      <c r="A70">
        <f t="shared" ca="1" si="7"/>
        <v>0.6818116997590794</v>
      </c>
      <c r="B70">
        <f t="shared" ca="1" si="8"/>
        <v>38.300175932131467</v>
      </c>
    </row>
    <row r="71" spans="1:2" x14ac:dyDescent="0.25">
      <c r="A71">
        <f t="shared" ca="1" si="7"/>
        <v>0.4133294405879947</v>
      </c>
      <c r="B71">
        <f t="shared" ca="1" si="8"/>
        <v>88.351032702778411</v>
      </c>
    </row>
    <row r="72" spans="1:2" x14ac:dyDescent="0.25">
      <c r="A72">
        <f t="shared" ca="1" si="7"/>
        <v>0.24413152341092015</v>
      </c>
      <c r="B72">
        <f t="shared" ca="1" si="8"/>
        <v>141.00481685409983</v>
      </c>
    </row>
    <row r="73" spans="1:2" x14ac:dyDescent="0.25">
      <c r="A73">
        <f t="shared" ca="1" si="7"/>
        <v>0.65005421658795526</v>
      </c>
      <c r="B73">
        <f t="shared" ca="1" si="8"/>
        <v>43.069950943557039</v>
      </c>
    </row>
    <row r="74" spans="1:2" x14ac:dyDescent="0.25">
      <c r="A74">
        <f t="shared" ca="1" si="7"/>
        <v>0.60326493617165766</v>
      </c>
      <c r="B74">
        <f t="shared" ca="1" si="8"/>
        <v>50.539881527806585</v>
      </c>
    </row>
    <row r="75" spans="1:2" x14ac:dyDescent="0.25">
      <c r="A75">
        <f t="shared" ca="1" si="7"/>
        <v>0.3286574346729414</v>
      </c>
      <c r="B75">
        <f t="shared" ca="1" si="8"/>
        <v>111.27393026725225</v>
      </c>
    </row>
    <row r="76" spans="1:2" x14ac:dyDescent="0.25">
      <c r="A76">
        <f t="shared" ca="1" si="7"/>
        <v>0.59699043134975149</v>
      </c>
      <c r="B76">
        <f t="shared" ca="1" si="8"/>
        <v>51.585419360784648</v>
      </c>
    </row>
    <row r="77" spans="1:2" x14ac:dyDescent="0.25">
      <c r="A77">
        <f t="shared" ca="1" si="7"/>
        <v>0.51853530032561057</v>
      </c>
      <c r="B77">
        <f t="shared" ca="1" si="8"/>
        <v>65.67471719991255</v>
      </c>
    </row>
    <row r="78" spans="1:2" x14ac:dyDescent="0.25">
      <c r="A78">
        <f t="shared" ca="1" si="7"/>
        <v>0.53934304312458436</v>
      </c>
      <c r="B78">
        <f t="shared" ca="1" si="8"/>
        <v>61.740346687263582</v>
      </c>
    </row>
    <row r="79" spans="1:2" x14ac:dyDescent="0.25">
      <c r="A79">
        <f t="shared" ca="1" si="7"/>
        <v>0.41210071654951652</v>
      </c>
      <c r="B79">
        <f t="shared" ca="1" si="8"/>
        <v>88.648750186305435</v>
      </c>
    </row>
    <row r="80" spans="1:2" x14ac:dyDescent="0.25">
      <c r="A80">
        <f t="shared" ca="1" si="7"/>
        <v>0.6270929550470683</v>
      </c>
      <c r="B80">
        <f t="shared" ca="1" si="8"/>
        <v>46.666049567411889</v>
      </c>
    </row>
    <row r="81" spans="1:2" x14ac:dyDescent="0.25">
      <c r="A81">
        <f t="shared" ca="1" si="7"/>
        <v>0.81656378427229304</v>
      </c>
      <c r="B81">
        <f t="shared" ca="1" si="8"/>
        <v>20.265025048951468</v>
      </c>
    </row>
    <row r="82" spans="1:2" x14ac:dyDescent="0.25">
      <c r="A82">
        <f t="shared" ca="1" si="7"/>
        <v>0.1483686668422971</v>
      </c>
      <c r="B82">
        <f t="shared" ca="1" si="8"/>
        <v>190.80551104187228</v>
      </c>
    </row>
    <row r="83" spans="1:2" x14ac:dyDescent="0.25">
      <c r="A83">
        <f t="shared" ca="1" si="7"/>
        <v>0.33572421420505472</v>
      </c>
      <c r="B83">
        <f t="shared" ca="1" si="8"/>
        <v>109.14652471087321</v>
      </c>
    </row>
    <row r="84" spans="1:2" x14ac:dyDescent="0.25">
      <c r="A84">
        <f t="shared" ca="1" si="7"/>
        <v>3.5487986915586855E-2</v>
      </c>
      <c r="B84">
        <f t="shared" ca="1" si="8"/>
        <v>333.85610365138973</v>
      </c>
    </row>
    <row r="85" spans="1:2" x14ac:dyDescent="0.25">
      <c r="A85">
        <f t="shared" ca="1" si="7"/>
        <v>0.35040127316598813</v>
      </c>
      <c r="B85">
        <f t="shared" ca="1" si="8"/>
        <v>104.86762864619237</v>
      </c>
    </row>
    <row r="86" spans="1:2" x14ac:dyDescent="0.25">
      <c r="A86">
        <f t="shared" ca="1" si="7"/>
        <v>0.3604420509708447</v>
      </c>
      <c r="B86">
        <f t="shared" ca="1" si="8"/>
        <v>102.04240814449268</v>
      </c>
    </row>
    <row r="87" spans="1:2" x14ac:dyDescent="0.25">
      <c r="A87">
        <f t="shared" ca="1" si="7"/>
        <v>5.4401754267174751E-2</v>
      </c>
      <c r="B87">
        <f t="shared" ca="1" si="8"/>
        <v>291.13588780818225</v>
      </c>
    </row>
    <row r="88" spans="1:2" x14ac:dyDescent="0.25">
      <c r="A88">
        <f t="shared" ca="1" si="7"/>
        <v>0.56171401992563164</v>
      </c>
      <c r="B88">
        <f t="shared" ca="1" si="8"/>
        <v>57.676241994460952</v>
      </c>
    </row>
    <row r="89" spans="1:2" x14ac:dyDescent="0.25">
      <c r="A89">
        <f t="shared" ca="1" si="7"/>
        <v>0.87023347214182045</v>
      </c>
      <c r="B89">
        <f t="shared" ca="1" si="8"/>
        <v>13.899374455158359</v>
      </c>
    </row>
    <row r="90" spans="1:2" x14ac:dyDescent="0.25">
      <c r="A90">
        <f t="shared" ca="1" si="7"/>
        <v>4.2275894609245079E-2</v>
      </c>
      <c r="B90">
        <f t="shared" ca="1" si="8"/>
        <v>316.35382227597756</v>
      </c>
    </row>
    <row r="91" spans="1:2" x14ac:dyDescent="0.25">
      <c r="A91">
        <f t="shared" ca="1" si="7"/>
        <v>0.90530240587518374</v>
      </c>
      <c r="B91">
        <f t="shared" ca="1" si="8"/>
        <v>9.9486240959610281</v>
      </c>
    </row>
    <row r="92" spans="1:2" x14ac:dyDescent="0.25">
      <c r="A92">
        <f t="shared" ca="1" si="7"/>
        <v>0.40438890773807656</v>
      </c>
      <c r="B92">
        <f t="shared" ca="1" si="8"/>
        <v>90.537822114850783</v>
      </c>
    </row>
    <row r="93" spans="1:2" x14ac:dyDescent="0.25">
      <c r="A93">
        <f t="shared" ca="1" si="7"/>
        <v>0.36084431789628302</v>
      </c>
      <c r="B93">
        <f t="shared" ca="1" si="8"/>
        <v>101.93086660301674</v>
      </c>
    </row>
    <row r="94" spans="1:2" x14ac:dyDescent="0.25">
      <c r="A94">
        <f t="shared" ca="1" si="7"/>
        <v>0.77631613230206042</v>
      </c>
      <c r="B94">
        <f t="shared" ca="1" si="8"/>
        <v>25.319545477127537</v>
      </c>
    </row>
    <row r="95" spans="1:2" x14ac:dyDescent="0.25">
      <c r="A95">
        <f t="shared" ca="1" si="7"/>
        <v>0.77778988244090874</v>
      </c>
      <c r="B95">
        <f t="shared" ca="1" si="8"/>
        <v>25.129886526369923</v>
      </c>
    </row>
    <row r="96" spans="1:2" x14ac:dyDescent="0.25">
      <c r="A96">
        <f t="shared" ca="1" si="7"/>
        <v>0.39189216602721388</v>
      </c>
      <c r="B96">
        <f t="shared" ca="1" si="8"/>
        <v>93.676856370022222</v>
      </c>
    </row>
    <row r="97" spans="1:2" x14ac:dyDescent="0.25">
      <c r="A97">
        <f t="shared" ca="1" si="7"/>
        <v>0.23669995440012948</v>
      </c>
      <c r="B97">
        <f t="shared" ca="1" si="8"/>
        <v>144.09619551105931</v>
      </c>
    </row>
    <row r="98" spans="1:2" x14ac:dyDescent="0.25">
      <c r="A98">
        <f t="shared" ca="1" si="7"/>
        <v>0.80830155794238023</v>
      </c>
      <c r="B98">
        <f t="shared" ca="1" si="8"/>
        <v>21.282007481331593</v>
      </c>
    </row>
    <row r="99" spans="1:2" x14ac:dyDescent="0.25">
      <c r="A99">
        <f t="shared" ca="1" si="7"/>
        <v>0.60233484030558426</v>
      </c>
      <c r="B99">
        <f t="shared" ca="1" si="8"/>
        <v>50.694177517030525</v>
      </c>
    </row>
    <row r="100" spans="1:2" x14ac:dyDescent="0.25">
      <c r="A100">
        <f t="shared" ca="1" si="7"/>
        <v>0.5532562807156346</v>
      </c>
      <c r="B100">
        <f t="shared" ca="1" si="8"/>
        <v>59.193394771481124</v>
      </c>
    </row>
    <row r="101" spans="1:2" x14ac:dyDescent="0.25">
      <c r="A101">
        <f ca="1">RAND()</f>
        <v>0.34492750200812328</v>
      </c>
      <c r="B101">
        <f ca="1">-100*LN(A101)</f>
        <v>106.44210231399821</v>
      </c>
    </row>
    <row r="102" spans="1:2" x14ac:dyDescent="0.25">
      <c r="A102">
        <f t="shared" ref="A102:A165" ca="1" si="9">RAND()</f>
        <v>0.16968801668712863</v>
      </c>
      <c r="B102">
        <f t="shared" ref="B102:B165" ca="1" si="10">-100*LN(A102)</f>
        <v>177.37937239251636</v>
      </c>
    </row>
    <row r="103" spans="1:2" x14ac:dyDescent="0.25">
      <c r="A103">
        <f t="shared" ca="1" si="9"/>
        <v>0.64686993435222551</v>
      </c>
      <c r="B103">
        <f t="shared" ca="1" si="10"/>
        <v>43.561003351214659</v>
      </c>
    </row>
    <row r="104" spans="1:2" x14ac:dyDescent="0.25">
      <c r="A104">
        <f t="shared" ca="1" si="9"/>
        <v>0.52109706806313005</v>
      </c>
      <c r="B104">
        <f t="shared" ca="1" si="10"/>
        <v>65.181894352085052</v>
      </c>
    </row>
    <row r="105" spans="1:2" x14ac:dyDescent="0.25">
      <c r="A105">
        <f t="shared" ca="1" si="9"/>
        <v>8.534818993843829E-2</v>
      </c>
      <c r="B105">
        <f t="shared" ca="1" si="10"/>
        <v>246.10160374834032</v>
      </c>
    </row>
    <row r="106" spans="1:2" x14ac:dyDescent="0.25">
      <c r="A106">
        <f t="shared" ca="1" si="9"/>
        <v>0.9306892121489222</v>
      </c>
      <c r="B106">
        <f t="shared" ca="1" si="10"/>
        <v>7.1829878973022909</v>
      </c>
    </row>
    <row r="107" spans="1:2" x14ac:dyDescent="0.25">
      <c r="A107">
        <f t="shared" ca="1" si="9"/>
        <v>0.74081391892796944</v>
      </c>
      <c r="B107">
        <f t="shared" ca="1" si="10"/>
        <v>30.000580677704463</v>
      </c>
    </row>
    <row r="108" spans="1:2" x14ac:dyDescent="0.25">
      <c r="A108">
        <f t="shared" ca="1" si="9"/>
        <v>0.8393020436510763</v>
      </c>
      <c r="B108">
        <f t="shared" ca="1" si="10"/>
        <v>17.518463294924913</v>
      </c>
    </row>
    <row r="109" spans="1:2" x14ac:dyDescent="0.25">
      <c r="A109">
        <f t="shared" ca="1" si="9"/>
        <v>0.53948131971832269</v>
      </c>
      <c r="B109">
        <f t="shared" ca="1" si="10"/>
        <v>61.714712005797686</v>
      </c>
    </row>
    <row r="110" spans="1:2" x14ac:dyDescent="0.25">
      <c r="A110">
        <f t="shared" ca="1" si="9"/>
        <v>0.12284773907194324</v>
      </c>
      <c r="B110">
        <f t="shared" ca="1" si="10"/>
        <v>209.68095841570903</v>
      </c>
    </row>
    <row r="111" spans="1:2" x14ac:dyDescent="0.25">
      <c r="A111">
        <f t="shared" ca="1" si="9"/>
        <v>0.98413975925599728</v>
      </c>
      <c r="B111">
        <f t="shared" ca="1" si="10"/>
        <v>1.5987360251214806</v>
      </c>
    </row>
    <row r="112" spans="1:2" x14ac:dyDescent="0.25">
      <c r="A112">
        <f t="shared" ca="1" si="9"/>
        <v>0.77215843329280032</v>
      </c>
      <c r="B112">
        <f t="shared" ca="1" si="10"/>
        <v>25.856552554048296</v>
      </c>
    </row>
    <row r="113" spans="1:2" x14ac:dyDescent="0.25">
      <c r="A113">
        <f t="shared" ca="1" si="9"/>
        <v>0.14637635401301996</v>
      </c>
      <c r="B113">
        <f t="shared" ca="1" si="10"/>
        <v>192.15742068045972</v>
      </c>
    </row>
    <row r="114" spans="1:2" x14ac:dyDescent="0.25">
      <c r="A114">
        <f t="shared" ca="1" si="9"/>
        <v>0.60345035757568255</v>
      </c>
      <c r="B114">
        <f t="shared" ca="1" si="10"/>
        <v>50.509149936611053</v>
      </c>
    </row>
    <row r="115" spans="1:2" x14ac:dyDescent="0.25">
      <c r="A115">
        <f t="shared" ca="1" si="9"/>
        <v>6.5257580694789374E-2</v>
      </c>
      <c r="B115">
        <f t="shared" ca="1" si="10"/>
        <v>272.94130602971302</v>
      </c>
    </row>
    <row r="116" spans="1:2" x14ac:dyDescent="0.25">
      <c r="A116">
        <f t="shared" ca="1" si="9"/>
        <v>0.97947011505957693</v>
      </c>
      <c r="B116">
        <f t="shared" ca="1" si="10"/>
        <v>2.0743552466692341</v>
      </c>
    </row>
    <row r="117" spans="1:2" x14ac:dyDescent="0.25">
      <c r="A117">
        <f t="shared" ca="1" si="9"/>
        <v>0.18992245469565616</v>
      </c>
      <c r="B117">
        <f t="shared" ca="1" si="10"/>
        <v>166.11394233114228</v>
      </c>
    </row>
    <row r="118" spans="1:2" x14ac:dyDescent="0.25">
      <c r="A118">
        <f t="shared" ca="1" si="9"/>
        <v>0.34884582805891484</v>
      </c>
      <c r="B118">
        <f t="shared" ca="1" si="10"/>
        <v>105.31252077943452</v>
      </c>
    </row>
    <row r="119" spans="1:2" x14ac:dyDescent="0.25">
      <c r="A119">
        <f t="shared" ca="1" si="9"/>
        <v>0.44722381491351793</v>
      </c>
      <c r="B119">
        <f t="shared" ca="1" si="10"/>
        <v>80.469610517472688</v>
      </c>
    </row>
    <row r="120" spans="1:2" x14ac:dyDescent="0.25">
      <c r="A120">
        <f t="shared" ca="1" si="9"/>
        <v>0.41043225506784531</v>
      </c>
      <c r="B120">
        <f t="shared" ca="1" si="10"/>
        <v>89.054439399404515</v>
      </c>
    </row>
    <row r="121" spans="1:2" x14ac:dyDescent="0.25">
      <c r="A121">
        <f t="shared" ca="1" si="9"/>
        <v>1.4590557190290787E-2</v>
      </c>
      <c r="B121">
        <f t="shared" ca="1" si="10"/>
        <v>422.73807273006605</v>
      </c>
    </row>
    <row r="122" spans="1:2" x14ac:dyDescent="0.25">
      <c r="A122">
        <f t="shared" ca="1" si="9"/>
        <v>0.64622828940627397</v>
      </c>
      <c r="B122">
        <f t="shared" ca="1" si="10"/>
        <v>43.660244845298358</v>
      </c>
    </row>
    <row r="123" spans="1:2" x14ac:dyDescent="0.25">
      <c r="A123">
        <f t="shared" ca="1" si="9"/>
        <v>0.39529871150044715</v>
      </c>
      <c r="B123">
        <f t="shared" ca="1" si="10"/>
        <v>92.811356823338741</v>
      </c>
    </row>
    <row r="124" spans="1:2" x14ac:dyDescent="0.25">
      <c r="A124">
        <f t="shared" ca="1" si="9"/>
        <v>0.46954828605023247</v>
      </c>
      <c r="B124">
        <f t="shared" ca="1" si="10"/>
        <v>75.598413993467844</v>
      </c>
    </row>
    <row r="125" spans="1:2" x14ac:dyDescent="0.25">
      <c r="A125">
        <f t="shared" ca="1" si="9"/>
        <v>0.43754803868819703</v>
      </c>
      <c r="B125">
        <f t="shared" ca="1" si="10"/>
        <v>82.656877649646603</v>
      </c>
    </row>
    <row r="126" spans="1:2" x14ac:dyDescent="0.25">
      <c r="A126">
        <f t="shared" ca="1" si="9"/>
        <v>0.31026929110206314</v>
      </c>
      <c r="B126">
        <f t="shared" ca="1" si="10"/>
        <v>117.03146776135036</v>
      </c>
    </row>
    <row r="127" spans="1:2" x14ac:dyDescent="0.25">
      <c r="A127">
        <f t="shared" ca="1" si="9"/>
        <v>0.32480102813195866</v>
      </c>
      <c r="B127">
        <f t="shared" ca="1" si="10"/>
        <v>112.4542505268717</v>
      </c>
    </row>
    <row r="128" spans="1:2" x14ac:dyDescent="0.25">
      <c r="A128">
        <f t="shared" ca="1" si="9"/>
        <v>0.31681680156687675</v>
      </c>
      <c r="B128">
        <f t="shared" ca="1" si="10"/>
        <v>114.94315851992056</v>
      </c>
    </row>
    <row r="129" spans="1:2" x14ac:dyDescent="0.25">
      <c r="A129">
        <f t="shared" ca="1" si="9"/>
        <v>0.64457037031017062</v>
      </c>
      <c r="B129">
        <f t="shared" ca="1" si="10"/>
        <v>43.917127666693297</v>
      </c>
    </row>
    <row r="130" spans="1:2" x14ac:dyDescent="0.25">
      <c r="A130">
        <f t="shared" ca="1" si="9"/>
        <v>0.45406333894877471</v>
      </c>
      <c r="B130">
        <f t="shared" ca="1" si="10"/>
        <v>78.951857756880898</v>
      </c>
    </row>
    <row r="131" spans="1:2" x14ac:dyDescent="0.25">
      <c r="A131">
        <f t="shared" ca="1" si="9"/>
        <v>0.73880894233709038</v>
      </c>
      <c r="B131">
        <f t="shared" ca="1" si="10"/>
        <v>30.27159268630993</v>
      </c>
    </row>
    <row r="132" spans="1:2" x14ac:dyDescent="0.25">
      <c r="A132">
        <f t="shared" ca="1" si="9"/>
        <v>0.36089591314748226</v>
      </c>
      <c r="B132">
        <f t="shared" ca="1" si="10"/>
        <v>101.91656914554716</v>
      </c>
    </row>
    <row r="133" spans="1:2" x14ac:dyDescent="0.25">
      <c r="A133">
        <f t="shared" ca="1" si="9"/>
        <v>0.97654200193358032</v>
      </c>
      <c r="B133">
        <f t="shared" ca="1" si="10"/>
        <v>2.3737516857623353</v>
      </c>
    </row>
    <row r="134" spans="1:2" x14ac:dyDescent="0.25">
      <c r="A134">
        <f t="shared" ca="1" si="9"/>
        <v>0.3407619702788659</v>
      </c>
      <c r="B134">
        <f t="shared" ca="1" si="10"/>
        <v>107.65710798108725</v>
      </c>
    </row>
    <row r="135" spans="1:2" x14ac:dyDescent="0.25">
      <c r="A135">
        <f t="shared" ca="1" si="9"/>
        <v>0.47451999928232924</v>
      </c>
      <c r="B135">
        <f t="shared" ca="1" si="10"/>
        <v>74.545151370164859</v>
      </c>
    </row>
    <row r="136" spans="1:2" x14ac:dyDescent="0.25">
      <c r="A136">
        <f t="shared" ca="1" si="9"/>
        <v>0.58292332282706283</v>
      </c>
      <c r="B136">
        <f t="shared" ca="1" si="10"/>
        <v>53.969962301884337</v>
      </c>
    </row>
    <row r="137" spans="1:2" x14ac:dyDescent="0.25">
      <c r="A137">
        <f t="shared" ca="1" si="9"/>
        <v>0.92566745265522166</v>
      </c>
      <c r="B137">
        <f t="shared" ca="1" si="10"/>
        <v>7.7240231238418788</v>
      </c>
    </row>
    <row r="138" spans="1:2" x14ac:dyDescent="0.25">
      <c r="A138">
        <f t="shared" ca="1" si="9"/>
        <v>3.0813753495623764E-2</v>
      </c>
      <c r="B138">
        <f t="shared" ca="1" si="10"/>
        <v>347.97941466071399</v>
      </c>
    </row>
    <row r="139" spans="1:2" x14ac:dyDescent="0.25">
      <c r="A139">
        <f t="shared" ca="1" si="9"/>
        <v>0.88795996564700463</v>
      </c>
      <c r="B139">
        <f t="shared" ca="1" si="10"/>
        <v>11.882862073711957</v>
      </c>
    </row>
    <row r="140" spans="1:2" x14ac:dyDescent="0.25">
      <c r="A140">
        <f t="shared" ca="1" si="9"/>
        <v>0.63441467655494643</v>
      </c>
      <c r="B140">
        <f t="shared" ca="1" si="10"/>
        <v>45.50524743847312</v>
      </c>
    </row>
    <row r="141" spans="1:2" x14ac:dyDescent="0.25">
      <c r="A141">
        <f t="shared" ca="1" si="9"/>
        <v>0.17343777418982376</v>
      </c>
      <c r="B141">
        <f t="shared" ca="1" si="10"/>
        <v>175.19363941283339</v>
      </c>
    </row>
    <row r="142" spans="1:2" x14ac:dyDescent="0.25">
      <c r="A142">
        <f t="shared" ca="1" si="9"/>
        <v>9.5968320483982739E-2</v>
      </c>
      <c r="B142">
        <f t="shared" ca="1" si="10"/>
        <v>234.37371369331319</v>
      </c>
    </row>
    <row r="143" spans="1:2" x14ac:dyDescent="0.25">
      <c r="A143">
        <f t="shared" ca="1" si="9"/>
        <v>0.7598350419403026</v>
      </c>
      <c r="B143">
        <f t="shared" ca="1" si="10"/>
        <v>27.465391933908684</v>
      </c>
    </row>
    <row r="144" spans="1:2" x14ac:dyDescent="0.25">
      <c r="A144">
        <f t="shared" ca="1" si="9"/>
        <v>0.15036042101817726</v>
      </c>
      <c r="B144">
        <f t="shared" ca="1" si="10"/>
        <v>189.47200602223941</v>
      </c>
    </row>
    <row r="145" spans="1:2" x14ac:dyDescent="0.25">
      <c r="A145">
        <f t="shared" ca="1" si="9"/>
        <v>0.46325880282641296</v>
      </c>
      <c r="B145">
        <f t="shared" ca="1" si="10"/>
        <v>76.946941167359839</v>
      </c>
    </row>
    <row r="146" spans="1:2" x14ac:dyDescent="0.25">
      <c r="A146">
        <f t="shared" ca="1" si="9"/>
        <v>0.14435779001047477</v>
      </c>
      <c r="B146">
        <f t="shared" ca="1" si="10"/>
        <v>193.54604082020188</v>
      </c>
    </row>
    <row r="147" spans="1:2" x14ac:dyDescent="0.25">
      <c r="A147">
        <f t="shared" ca="1" si="9"/>
        <v>0.89525025184762863</v>
      </c>
      <c r="B147">
        <f t="shared" ca="1" si="10"/>
        <v>11.06519887882158</v>
      </c>
    </row>
    <row r="148" spans="1:2" x14ac:dyDescent="0.25">
      <c r="A148">
        <f t="shared" ca="1" si="9"/>
        <v>0.45699063334232037</v>
      </c>
      <c r="B148">
        <f t="shared" ca="1" si="10"/>
        <v>78.309238426664194</v>
      </c>
    </row>
    <row r="149" spans="1:2" x14ac:dyDescent="0.25">
      <c r="A149">
        <f t="shared" ca="1" si="9"/>
        <v>0.81509413071909143</v>
      </c>
      <c r="B149">
        <f t="shared" ca="1" si="10"/>
        <v>20.445167459579732</v>
      </c>
    </row>
    <row r="150" spans="1:2" x14ac:dyDescent="0.25">
      <c r="A150">
        <f t="shared" ca="1" si="9"/>
        <v>2.729151180658973E-3</v>
      </c>
      <c r="B150">
        <f t="shared" ca="1" si="10"/>
        <v>590.37646409673357</v>
      </c>
    </row>
    <row r="151" spans="1:2" x14ac:dyDescent="0.25">
      <c r="A151">
        <f t="shared" ca="1" si="9"/>
        <v>0.25467559640795812</v>
      </c>
      <c r="B151">
        <f t="shared" ca="1" si="10"/>
        <v>136.77647146693141</v>
      </c>
    </row>
    <row r="152" spans="1:2" x14ac:dyDescent="0.25">
      <c r="A152">
        <f t="shared" ca="1" si="9"/>
        <v>0.25869770827077831</v>
      </c>
      <c r="B152">
        <f t="shared" ca="1" si="10"/>
        <v>135.20950484657337</v>
      </c>
    </row>
    <row r="153" spans="1:2" x14ac:dyDescent="0.25">
      <c r="A153">
        <f t="shared" ca="1" si="9"/>
        <v>0.72775095316167016</v>
      </c>
      <c r="B153">
        <f t="shared" ca="1" si="10"/>
        <v>31.779638661948113</v>
      </c>
    </row>
    <row r="154" spans="1:2" x14ac:dyDescent="0.25">
      <c r="A154">
        <f t="shared" ca="1" si="9"/>
        <v>0.95200296629314307</v>
      </c>
      <c r="B154">
        <f t="shared" ca="1" si="10"/>
        <v>4.9187128341484119</v>
      </c>
    </row>
    <row r="155" spans="1:2" x14ac:dyDescent="0.25">
      <c r="A155">
        <f t="shared" ca="1" si="9"/>
        <v>0.56439670674440634</v>
      </c>
      <c r="B155">
        <f t="shared" ca="1" si="10"/>
        <v>57.199789398788937</v>
      </c>
    </row>
    <row r="156" spans="1:2" x14ac:dyDescent="0.25">
      <c r="A156">
        <f t="shared" ca="1" si="9"/>
        <v>0.64137798714597483</v>
      </c>
      <c r="B156">
        <f t="shared" ca="1" si="10"/>
        <v>44.41363123214213</v>
      </c>
    </row>
    <row r="157" spans="1:2" x14ac:dyDescent="0.25">
      <c r="A157">
        <f t="shared" ca="1" si="9"/>
        <v>0.35660163433233505</v>
      </c>
      <c r="B157">
        <f t="shared" ca="1" si="10"/>
        <v>103.1135990466754</v>
      </c>
    </row>
    <row r="158" spans="1:2" x14ac:dyDescent="0.25">
      <c r="A158">
        <f t="shared" ca="1" si="9"/>
        <v>0.30407292561057864</v>
      </c>
      <c r="B158">
        <f t="shared" ca="1" si="10"/>
        <v>119.0487719467268</v>
      </c>
    </row>
    <row r="159" spans="1:2" x14ac:dyDescent="0.25">
      <c r="A159">
        <f t="shared" ca="1" si="9"/>
        <v>0.30621867795105939</v>
      </c>
      <c r="B159">
        <f t="shared" ca="1" si="10"/>
        <v>118.34557984319285</v>
      </c>
    </row>
    <row r="160" spans="1:2" x14ac:dyDescent="0.25">
      <c r="A160">
        <f t="shared" ca="1" si="9"/>
        <v>0.41679393799762043</v>
      </c>
      <c r="B160">
        <f t="shared" ca="1" si="10"/>
        <v>87.516333280032953</v>
      </c>
    </row>
    <row r="161" spans="1:2" x14ac:dyDescent="0.25">
      <c r="A161">
        <f t="shared" ca="1" si="9"/>
        <v>0.67320289817278145</v>
      </c>
      <c r="B161">
        <f t="shared" ca="1" si="10"/>
        <v>39.570851160526175</v>
      </c>
    </row>
    <row r="162" spans="1:2" x14ac:dyDescent="0.25">
      <c r="A162">
        <f t="shared" ca="1" si="9"/>
        <v>0.25088729827594014</v>
      </c>
      <c r="B162">
        <f t="shared" ca="1" si="10"/>
        <v>138.27514515387395</v>
      </c>
    </row>
    <row r="163" spans="1:2" x14ac:dyDescent="0.25">
      <c r="A163">
        <f t="shared" ca="1" si="9"/>
        <v>0.83546771846185519</v>
      </c>
      <c r="B163">
        <f t="shared" ca="1" si="10"/>
        <v>17.976356908169528</v>
      </c>
    </row>
    <row r="164" spans="1:2" x14ac:dyDescent="0.25">
      <c r="A164">
        <f t="shared" ca="1" si="9"/>
        <v>0.76235899732431134</v>
      </c>
      <c r="B164">
        <f t="shared" ca="1" si="10"/>
        <v>27.133770914255361</v>
      </c>
    </row>
    <row r="165" spans="1:2" x14ac:dyDescent="0.25">
      <c r="A165">
        <f t="shared" ca="1" si="9"/>
        <v>0.83555208544162629</v>
      </c>
      <c r="B165">
        <f t="shared" ca="1" si="10"/>
        <v>17.966259244497834</v>
      </c>
    </row>
    <row r="166" spans="1:2" x14ac:dyDescent="0.25">
      <c r="A166">
        <f t="shared" ref="A166:A201" ca="1" si="11">RAND()</f>
        <v>0.66875111439560297</v>
      </c>
      <c r="B166">
        <f t="shared" ref="B166:B201" ca="1" si="12">-100*LN(A166)</f>
        <v>40.234331438736085</v>
      </c>
    </row>
    <row r="167" spans="1:2" x14ac:dyDescent="0.25">
      <c r="A167">
        <f t="shared" ca="1" si="11"/>
        <v>0.42793059386230436</v>
      </c>
      <c r="B167">
        <f t="shared" ca="1" si="12"/>
        <v>84.879426042344335</v>
      </c>
    </row>
    <row r="168" spans="1:2" x14ac:dyDescent="0.25">
      <c r="A168">
        <f t="shared" ca="1" si="11"/>
        <v>0.11235199145747099</v>
      </c>
      <c r="B168">
        <f t="shared" ca="1" si="12"/>
        <v>218.61185550297358</v>
      </c>
    </row>
    <row r="169" spans="1:2" x14ac:dyDescent="0.25">
      <c r="A169">
        <f t="shared" ca="1" si="11"/>
        <v>0.12532200508255698</v>
      </c>
      <c r="B169">
        <f t="shared" ca="1" si="12"/>
        <v>207.68688133249191</v>
      </c>
    </row>
    <row r="170" spans="1:2" x14ac:dyDescent="0.25">
      <c r="A170">
        <f t="shared" ca="1" si="11"/>
        <v>0.67480640792428659</v>
      </c>
      <c r="B170">
        <f t="shared" ca="1" si="12"/>
        <v>39.332943232060565</v>
      </c>
    </row>
    <row r="171" spans="1:2" x14ac:dyDescent="0.25">
      <c r="A171">
        <f t="shared" ca="1" si="11"/>
        <v>0.64778982279051045</v>
      </c>
      <c r="B171">
        <f t="shared" ca="1" si="12"/>
        <v>43.418898278741274</v>
      </c>
    </row>
    <row r="172" spans="1:2" x14ac:dyDescent="0.25">
      <c r="A172">
        <f t="shared" ca="1" si="11"/>
        <v>0.86749937927643306</v>
      </c>
      <c r="B172">
        <f t="shared" ca="1" si="12"/>
        <v>14.214048269286806</v>
      </c>
    </row>
    <row r="173" spans="1:2" x14ac:dyDescent="0.25">
      <c r="A173">
        <f t="shared" ca="1" si="11"/>
        <v>0.78594440553110145</v>
      </c>
      <c r="B173">
        <f t="shared" ca="1" si="12"/>
        <v>24.086921993093817</v>
      </c>
    </row>
    <row r="174" spans="1:2" x14ac:dyDescent="0.25">
      <c r="A174">
        <f t="shared" ca="1" si="11"/>
        <v>5.0397550360714582E-3</v>
      </c>
      <c r="B174">
        <f t="shared" ca="1" si="12"/>
        <v>529.03978020341458</v>
      </c>
    </row>
    <row r="175" spans="1:2" x14ac:dyDescent="0.25">
      <c r="A175">
        <f t="shared" ca="1" si="11"/>
        <v>0.43027645951276328</v>
      </c>
      <c r="B175">
        <f t="shared" ca="1" si="12"/>
        <v>84.332734778544904</v>
      </c>
    </row>
    <row r="176" spans="1:2" x14ac:dyDescent="0.25">
      <c r="A176">
        <f t="shared" ca="1" si="11"/>
        <v>0.10284150152699667</v>
      </c>
      <c r="B176">
        <f t="shared" ca="1" si="12"/>
        <v>227.45662960784668</v>
      </c>
    </row>
    <row r="177" spans="1:2" x14ac:dyDescent="0.25">
      <c r="A177">
        <f t="shared" ca="1" si="11"/>
        <v>0.63208317167168715</v>
      </c>
      <c r="B177">
        <f t="shared" ca="1" si="12"/>
        <v>45.873429274755779</v>
      </c>
    </row>
    <row r="178" spans="1:2" x14ac:dyDescent="0.25">
      <c r="A178">
        <f t="shared" ca="1" si="11"/>
        <v>0.74573135823449888</v>
      </c>
      <c r="B178">
        <f t="shared" ca="1" si="12"/>
        <v>29.338985323863991</v>
      </c>
    </row>
    <row r="179" spans="1:2" x14ac:dyDescent="0.25">
      <c r="A179">
        <f t="shared" ca="1" si="11"/>
        <v>0.21473648889920038</v>
      </c>
      <c r="B179">
        <f t="shared" ca="1" si="12"/>
        <v>153.83436355838779</v>
      </c>
    </row>
    <row r="180" spans="1:2" x14ac:dyDescent="0.25">
      <c r="A180">
        <f t="shared" ca="1" si="11"/>
        <v>0.78739179902869705</v>
      </c>
      <c r="B180">
        <f t="shared" ca="1" si="12"/>
        <v>23.90293157811243</v>
      </c>
    </row>
    <row r="181" spans="1:2" x14ac:dyDescent="0.25">
      <c r="A181">
        <f t="shared" ca="1" si="11"/>
        <v>0.89974957384427823</v>
      </c>
      <c r="B181">
        <f t="shared" ca="1" si="12"/>
        <v>10.563880566103276</v>
      </c>
    </row>
    <row r="182" spans="1:2" x14ac:dyDescent="0.25">
      <c r="A182">
        <f t="shared" ca="1" si="11"/>
        <v>0.25708172314411359</v>
      </c>
      <c r="B182">
        <f t="shared" ca="1" si="12"/>
        <v>135.83612557470667</v>
      </c>
    </row>
    <row r="183" spans="1:2" x14ac:dyDescent="0.25">
      <c r="A183">
        <f t="shared" ca="1" si="11"/>
        <v>0.19952677269743191</v>
      </c>
      <c r="B183">
        <f t="shared" ca="1" si="12"/>
        <v>161.1806852671476</v>
      </c>
    </row>
    <row r="184" spans="1:2" x14ac:dyDescent="0.25">
      <c r="A184">
        <f t="shared" ca="1" si="11"/>
        <v>0.99486856784585875</v>
      </c>
      <c r="B184">
        <f t="shared" ca="1" si="12"/>
        <v>0.51446431657697755</v>
      </c>
    </row>
    <row r="185" spans="1:2" x14ac:dyDescent="0.25">
      <c r="A185">
        <f t="shared" ca="1" si="11"/>
        <v>0.88586181152187471</v>
      </c>
      <c r="B185">
        <f t="shared" ca="1" si="12"/>
        <v>12.11943094784116</v>
      </c>
    </row>
    <row r="186" spans="1:2" x14ac:dyDescent="0.25">
      <c r="A186">
        <f t="shared" ca="1" si="11"/>
        <v>0.76263313975950653</v>
      </c>
      <c r="B186">
        <f t="shared" ca="1" si="12"/>
        <v>27.097817622237415</v>
      </c>
    </row>
    <row r="187" spans="1:2" x14ac:dyDescent="0.25">
      <c r="A187">
        <f t="shared" ca="1" si="11"/>
        <v>0.10335048587305262</v>
      </c>
      <c r="B187">
        <f t="shared" ca="1" si="12"/>
        <v>226.96292916263917</v>
      </c>
    </row>
    <row r="188" spans="1:2" x14ac:dyDescent="0.25">
      <c r="A188">
        <f t="shared" ca="1" si="11"/>
        <v>0.14065796771848327</v>
      </c>
      <c r="B188">
        <f t="shared" ca="1" si="12"/>
        <v>196.14240963903231</v>
      </c>
    </row>
    <row r="189" spans="1:2" x14ac:dyDescent="0.25">
      <c r="A189">
        <f t="shared" ca="1" si="11"/>
        <v>0.46889773233356391</v>
      </c>
      <c r="B189">
        <f t="shared" ca="1" si="12"/>
        <v>75.737058903912256</v>
      </c>
    </row>
    <row r="190" spans="1:2" x14ac:dyDescent="0.25">
      <c r="A190">
        <f t="shared" ca="1" si="11"/>
        <v>0.55230696483712172</v>
      </c>
      <c r="B190">
        <f t="shared" ca="1" si="12"/>
        <v>59.365129154954403</v>
      </c>
    </row>
    <row r="191" spans="1:2" x14ac:dyDescent="0.25">
      <c r="A191">
        <f t="shared" ca="1" si="11"/>
        <v>0.92977636806920705</v>
      </c>
      <c r="B191">
        <f t="shared" ca="1" si="12"/>
        <v>7.2811186192757784</v>
      </c>
    </row>
    <row r="192" spans="1:2" x14ac:dyDescent="0.25">
      <c r="A192">
        <f t="shared" ca="1" si="11"/>
        <v>0.72255493544146987</v>
      </c>
      <c r="B192">
        <f t="shared" ca="1" si="12"/>
        <v>32.496182667297305</v>
      </c>
    </row>
    <row r="193" spans="1:2" x14ac:dyDescent="0.25">
      <c r="A193">
        <f t="shared" ca="1" si="11"/>
        <v>6.6506990674350175E-2</v>
      </c>
      <c r="B193">
        <f t="shared" ca="1" si="12"/>
        <v>271.04482139227969</v>
      </c>
    </row>
    <row r="194" spans="1:2" x14ac:dyDescent="0.25">
      <c r="A194">
        <f t="shared" ca="1" si="11"/>
        <v>0.64454675733390798</v>
      </c>
      <c r="B194">
        <f t="shared" ca="1" si="12"/>
        <v>43.920791100489794</v>
      </c>
    </row>
    <row r="195" spans="1:2" x14ac:dyDescent="0.25">
      <c r="A195">
        <f t="shared" ca="1" si="11"/>
        <v>0.71875398580651539</v>
      </c>
      <c r="B195">
        <f t="shared" ca="1" si="12"/>
        <v>33.023614141601847</v>
      </c>
    </row>
    <row r="196" spans="1:2" x14ac:dyDescent="0.25">
      <c r="A196">
        <f t="shared" ca="1" si="11"/>
        <v>0.19745379595810264</v>
      </c>
      <c r="B196">
        <f t="shared" ca="1" si="12"/>
        <v>162.22506665261835</v>
      </c>
    </row>
    <row r="197" spans="1:2" x14ac:dyDescent="0.25">
      <c r="A197">
        <f t="shared" ca="1" si="11"/>
        <v>0.3749843615345051</v>
      </c>
      <c r="B197">
        <f t="shared" ca="1" si="12"/>
        <v>98.087095645595596</v>
      </c>
    </row>
    <row r="198" spans="1:2" x14ac:dyDescent="0.25">
      <c r="A198">
        <f t="shared" ca="1" si="11"/>
        <v>0.62696029457349889</v>
      </c>
      <c r="B198">
        <f t="shared" ca="1" si="12"/>
        <v>46.687206639347131</v>
      </c>
    </row>
    <row r="199" spans="1:2" x14ac:dyDescent="0.25">
      <c r="A199">
        <f t="shared" ca="1" si="11"/>
        <v>0.54875086788684724</v>
      </c>
      <c r="B199">
        <f t="shared" ca="1" si="12"/>
        <v>60.011073302344222</v>
      </c>
    </row>
    <row r="200" spans="1:2" x14ac:dyDescent="0.25">
      <c r="A200">
        <f t="shared" ca="1" si="11"/>
        <v>0.92257245299138557</v>
      </c>
      <c r="B200">
        <f t="shared" ca="1" si="12"/>
        <v>8.0589366323485372</v>
      </c>
    </row>
    <row r="201" spans="1:2" x14ac:dyDescent="0.25">
      <c r="A201">
        <f t="shared" ca="1" si="11"/>
        <v>0.83456943387684479</v>
      </c>
      <c r="B201">
        <f t="shared" ca="1" si="12"/>
        <v>18.083933517514112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Petr Hruška</cp:lastModifiedBy>
  <dcterms:created xsi:type="dcterms:W3CDTF">2019-09-17T00:56:27Z</dcterms:created>
  <dcterms:modified xsi:type="dcterms:W3CDTF">2026-10-19T17:07:48Z</dcterms:modified>
</cp:coreProperties>
</file>